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0B7C1BAE-5711-485C-8A67-C7F19F49A24B}" xr6:coauthVersionLast="47" xr6:coauthVersionMax="47" xr10:uidLastSave="{00000000-0000-0000-0000-000000000000}"/>
  <bookViews>
    <workbookView xWindow="-86" yWindow="0" windowWidth="16629" windowHeight="17880" activeTab="2" xr2:uid="{3A0BABCD-3384-4BCC-A855-DBA05CA7D9DD}"/>
  </bookViews>
  <sheets>
    <sheet name="Acesso" sheetId="1" r:id="rId1"/>
    <sheet name="Contas" sheetId="2" r:id="rId2"/>
    <sheet name="Tela Principal" sheetId="3" r:id="rId3"/>
    <sheet name="Saque" sheetId="4" r:id="rId4"/>
    <sheet name="Dinheiro do Saque" sheetId="5" r:id="rId5"/>
    <sheet name="Transações" sheetId="6" r:id="rId6"/>
  </sheets>
  <definedNames>
    <definedName name="_xleta.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4" l="1"/>
  <c r="F2" i="4"/>
  <c r="C2" i="4"/>
  <c r="K2" i="2"/>
  <c r="D2" i="1"/>
  <c r="D2" i="2" l="1"/>
  <c r="D3" i="2"/>
  <c r="D4" i="2"/>
  <c r="D5" i="2"/>
  <c r="D6" i="2"/>
</calcChain>
</file>

<file path=xl/sharedStrings.xml><?xml version="1.0" encoding="utf-8"?>
<sst xmlns="http://schemas.openxmlformats.org/spreadsheetml/2006/main" count="55" uniqueCount="36">
  <si>
    <t>LOGIN</t>
  </si>
  <si>
    <t>Conta:</t>
  </si>
  <si>
    <t>Senha:</t>
  </si>
  <si>
    <t>Conta</t>
  </si>
  <si>
    <t>Senha</t>
  </si>
  <si>
    <t>Saldo Inicial</t>
  </si>
  <si>
    <t>Saldo Final</t>
  </si>
  <si>
    <t>Dono</t>
  </si>
  <si>
    <t>Acesso</t>
  </si>
  <si>
    <t>aluno</t>
  </si>
  <si>
    <t>Allan</t>
  </si>
  <si>
    <t>Usuário</t>
  </si>
  <si>
    <t>Amanda</t>
  </si>
  <si>
    <t>Roberto</t>
  </si>
  <si>
    <t>Thaís</t>
  </si>
  <si>
    <t>Hilda</t>
  </si>
  <si>
    <t>Conta Logada</t>
  </si>
  <si>
    <t>Saldo</t>
  </si>
  <si>
    <t>POR FAVOR APERTE O BOTÃO CORRESPONDENTE A</t>
  </si>
  <si>
    <t>OPÇÃO DESEJADA</t>
  </si>
  <si>
    <t xml:space="preserve">VALOR: </t>
  </si>
  <si>
    <t>SELECIONE A OPÇÃO DESEJADA</t>
  </si>
  <si>
    <t>OU DIGITE O VALOR E TECLE SACAR</t>
  </si>
  <si>
    <t>Escolha um valor para saque, apertando os botões ao lado da tela ou digite um valor no campo VALOR.</t>
  </si>
  <si>
    <r>
      <t xml:space="preserve">NOTAS DISPONÍVEIS: ( </t>
    </r>
    <r>
      <rPr>
        <b/>
        <sz val="12"/>
        <color theme="1"/>
        <rFont val="Aptos Narrow"/>
        <family val="2"/>
        <scheme val="minor"/>
      </rPr>
      <t>R$2,00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R$10,00</t>
    </r>
    <r>
      <rPr>
        <sz val="12"/>
        <color theme="1"/>
        <rFont val="Aptos Narrow"/>
        <family val="2"/>
        <scheme val="minor"/>
      </rPr>
      <t xml:space="preserve"> ),  ( </t>
    </r>
    <r>
      <rPr>
        <b/>
        <sz val="12"/>
        <color theme="1"/>
        <rFont val="Aptos Narrow"/>
        <family val="2"/>
        <scheme val="minor"/>
      </rPr>
      <t>R$50,00</t>
    </r>
    <r>
      <rPr>
        <sz val="12"/>
        <color theme="1"/>
        <rFont val="Aptos Narrow"/>
        <family val="2"/>
        <scheme val="minor"/>
      </rPr>
      <t xml:space="preserve"> ) </t>
    </r>
  </si>
  <si>
    <t>RETIRE SEU DINHEIRO E CONFIRA</t>
  </si>
  <si>
    <t>ID</t>
  </si>
  <si>
    <t>Transação</t>
  </si>
  <si>
    <t>Valor</t>
  </si>
  <si>
    <t>Data</t>
  </si>
  <si>
    <t>Descrição</t>
  </si>
  <si>
    <t>Saldo:</t>
  </si>
  <si>
    <t>Cliente:</t>
  </si>
  <si>
    <t>D</t>
  </si>
  <si>
    <t>Saque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</si>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</sst>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R$&quot;\ #,##0;[Red]\-&quot;R$&quot;\ #,##0"/>
    <numFmt numFmtId="44" formatCode="_-&quot;R$&quot;\ * #,##0.00_-;\-&quot;R$&quot;\ * #,##0.00_-;_-&quot;R$&quot;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Dashed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3" fillId="0" borderId="0" xfId="0" applyFont="1"/>
    <xf numFmtId="0" fontId="4" fillId="0" borderId="0" xfId="0" applyFont="1"/>
    <xf numFmtId="6" fontId="0" fillId="0" borderId="0" xfId="0" applyNumberFormat="1"/>
    <xf numFmtId="0" fontId="7" fillId="2" borderId="1" xfId="0" applyFont="1" applyFill="1" applyBorder="1"/>
    <xf numFmtId="44" fontId="7" fillId="2" borderId="1" xfId="1" applyFont="1" applyFill="1" applyBorder="1"/>
    <xf numFmtId="44" fontId="0" fillId="0" borderId="0" xfId="1" applyFont="1"/>
    <xf numFmtId="0" fontId="6" fillId="0" borderId="0" xfId="0" applyFont="1"/>
    <xf numFmtId="0" fontId="0" fillId="0" borderId="2" xfId="0" applyBorder="1"/>
    <xf numFmtId="0" fontId="10" fillId="2" borderId="1" xfId="0" applyFont="1" applyFill="1" applyBorder="1"/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center"/>
    </xf>
    <xf numFmtId="0" fontId="5" fillId="0" borderId="0" xfId="0" applyFont="1"/>
    <xf numFmtId="14" fontId="5" fillId="0" borderId="0" xfId="0" applyNumberFormat="1" applyFont="1"/>
    <xf numFmtId="6" fontId="5" fillId="0" borderId="0" xfId="0" applyNumberFormat="1" applyFont="1"/>
    <xf numFmtId="0" fontId="5" fillId="0" borderId="0" xfId="0" applyFont="1" applyAlignment="1">
      <alignment vertical="top" wrapText="1"/>
    </xf>
    <xf numFmtId="2" fontId="6" fillId="0" borderId="0" xfId="1" applyNumberFormat="1" applyFont="1"/>
    <xf numFmtId="0" fontId="3" fillId="0" borderId="0" xfId="0" applyFont="1" applyAlignment="1">
      <alignment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4129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jpeg"/><Relationship Id="rId1" Type="http://schemas.openxmlformats.org/officeDocument/2006/relationships/image" Target="../media/image5.jpeg"/><Relationship Id="rId4" Type="http://schemas.openxmlformats.org/officeDocument/2006/relationships/image" Target="../media/image8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10</xdr:row>
          <xdr:rowOff>65314</xdr:rowOff>
        </xdr:from>
        <xdr:to>
          <xdr:col>8</xdr:col>
          <xdr:colOff>43543</xdr:colOff>
          <xdr:row>12</xdr:row>
          <xdr:rowOff>32657</xdr:rowOff>
        </xdr:to>
        <xdr:sp macro="" textlink="">
          <xdr:nvSpPr>
            <xdr:cNvPr id="1025" name="txtCon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10</xdr:row>
      <xdr:rowOff>21773</xdr:rowOff>
    </xdr:from>
    <xdr:to>
      <xdr:col>8</xdr:col>
      <xdr:colOff>114299</xdr:colOff>
      <xdr:row>12</xdr:row>
      <xdr:rowOff>103414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A1BB689-1618-6EDC-A278-7EFD345B4B33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54429</xdr:colOff>
          <xdr:row>16</xdr:row>
          <xdr:rowOff>65314</xdr:rowOff>
        </xdr:from>
        <xdr:to>
          <xdr:col>8</xdr:col>
          <xdr:colOff>43543</xdr:colOff>
          <xdr:row>18</xdr:row>
          <xdr:rowOff>32657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27214</xdr:colOff>
      <xdr:row>16</xdr:row>
      <xdr:rowOff>21773</xdr:rowOff>
    </xdr:from>
    <xdr:to>
      <xdr:col>8</xdr:col>
      <xdr:colOff>114299</xdr:colOff>
      <xdr:row>18</xdr:row>
      <xdr:rowOff>103414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D0FFAAC-0FCC-4CB1-B037-7B09E1F9D375}"/>
            </a:ext>
          </a:extLst>
        </xdr:cNvPr>
        <xdr:cNvSpPr/>
      </xdr:nvSpPr>
      <xdr:spPr>
        <a:xfrm>
          <a:off x="2639785" y="1986644"/>
          <a:ext cx="2699657" cy="451756"/>
        </a:xfrm>
        <a:prstGeom prst="round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647700</xdr:colOff>
          <xdr:row>19</xdr:row>
          <xdr:rowOff>97971</xdr:rowOff>
        </xdr:from>
        <xdr:to>
          <xdr:col>8</xdr:col>
          <xdr:colOff>92529</xdr:colOff>
          <xdr:row>23</xdr:row>
          <xdr:rowOff>27214</xdr:rowOff>
        </xdr:to>
        <xdr:sp macro="" textlink="">
          <xdr:nvSpPr>
            <xdr:cNvPr id="1029" name="btnLoga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9</xdr:row>
      <xdr:rowOff>5443</xdr:rowOff>
    </xdr:from>
    <xdr:to>
      <xdr:col>9</xdr:col>
      <xdr:colOff>299357</xdr:colOff>
      <xdr:row>12</xdr:row>
      <xdr:rowOff>38099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5BD13E3-174B-2372-638E-D62CC112192B}"/>
            </a:ext>
          </a:extLst>
        </xdr:cNvPr>
        <xdr:cNvSpPr/>
      </xdr:nvSpPr>
      <xdr:spPr>
        <a:xfrm>
          <a:off x="2286000" y="1823357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DEPÓSITOS</a:t>
          </a:r>
        </a:p>
      </xdr:txBody>
    </xdr:sp>
    <xdr:clientData/>
  </xdr:twoCellAnchor>
  <xdr:twoCellAnchor>
    <xdr:from>
      <xdr:col>3</xdr:col>
      <xdr:colOff>462643</xdr:colOff>
      <xdr:row>9</xdr:row>
      <xdr:rowOff>141515</xdr:rowOff>
    </xdr:from>
    <xdr:to>
      <xdr:col>4</xdr:col>
      <xdr:colOff>119744</xdr:colOff>
      <xdr:row>11</xdr:row>
      <xdr:rowOff>114300</xdr:rowOff>
    </xdr:to>
    <xdr:sp macro="" textlink="">
      <xdr:nvSpPr>
        <xdr:cNvPr id="3" name="Seta: Divisa 2">
          <a:extLst>
            <a:ext uri="{FF2B5EF4-FFF2-40B4-BE49-F238E27FC236}">
              <a16:creationId xmlns:a16="http://schemas.microsoft.com/office/drawing/2014/main" id="{D129DC8D-903B-E644-D94D-A30D0B762A9C}"/>
            </a:ext>
          </a:extLst>
        </xdr:cNvPr>
        <xdr:cNvSpPr/>
      </xdr:nvSpPr>
      <xdr:spPr>
        <a:xfrm rot="10800000">
          <a:off x="2422072" y="19594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16</xdr:col>
      <xdr:colOff>625928</xdr:colOff>
      <xdr:row>12</xdr:row>
      <xdr:rowOff>32656</xdr:rowOff>
    </xdr:to>
    <xdr:sp macro="[0]!telaSaque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B0636FAF-541E-4258-922A-AEA1894D8880}"/>
            </a:ext>
          </a:extLst>
        </xdr:cNvPr>
        <xdr:cNvSpPr/>
      </xdr:nvSpPr>
      <xdr:spPr>
        <a:xfrm>
          <a:off x="7184571" y="1817914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SAQUES</a:t>
          </a:r>
        </a:p>
      </xdr:txBody>
    </xdr:sp>
    <xdr:clientData/>
  </xdr:twoCellAnchor>
  <xdr:twoCellAnchor>
    <xdr:from>
      <xdr:col>16</xdr:col>
      <xdr:colOff>163286</xdr:colOff>
      <xdr:row>9</xdr:row>
      <xdr:rowOff>125187</xdr:rowOff>
    </xdr:from>
    <xdr:to>
      <xdr:col>16</xdr:col>
      <xdr:colOff>473529</xdr:colOff>
      <xdr:row>11</xdr:row>
      <xdr:rowOff>97972</xdr:rowOff>
    </xdr:to>
    <xdr:sp macro="[0]!telaSaque" textlink="">
      <xdr:nvSpPr>
        <xdr:cNvPr id="5" name="Seta: Divisa 4">
          <a:extLst>
            <a:ext uri="{FF2B5EF4-FFF2-40B4-BE49-F238E27FC236}">
              <a16:creationId xmlns:a16="http://schemas.microsoft.com/office/drawing/2014/main" id="{94BAB5FB-3792-432E-8999-B50686D45AC1}"/>
            </a:ext>
          </a:extLst>
        </xdr:cNvPr>
        <xdr:cNvSpPr/>
      </xdr:nvSpPr>
      <xdr:spPr>
        <a:xfrm>
          <a:off x="10613572" y="19431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315685</xdr:colOff>
      <xdr:row>14</xdr:row>
      <xdr:rowOff>21771</xdr:rowOff>
    </xdr:from>
    <xdr:to>
      <xdr:col>9</xdr:col>
      <xdr:colOff>288471</xdr:colOff>
      <xdr:row>17</xdr:row>
      <xdr:rowOff>54428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10486537-8E99-4E0C-9FF0-7C1FD9DB96FB}"/>
            </a:ext>
          </a:extLst>
        </xdr:cNvPr>
        <xdr:cNvSpPr/>
      </xdr:nvSpPr>
      <xdr:spPr>
        <a:xfrm>
          <a:off x="2275114" y="2764971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PAGAMENTOS</a:t>
          </a:r>
        </a:p>
      </xdr:txBody>
    </xdr:sp>
    <xdr:clientData/>
  </xdr:twoCellAnchor>
  <xdr:twoCellAnchor>
    <xdr:from>
      <xdr:col>3</xdr:col>
      <xdr:colOff>451757</xdr:colOff>
      <xdr:row>14</xdr:row>
      <xdr:rowOff>157843</xdr:rowOff>
    </xdr:from>
    <xdr:to>
      <xdr:col>4</xdr:col>
      <xdr:colOff>108858</xdr:colOff>
      <xdr:row>16</xdr:row>
      <xdr:rowOff>130629</xdr:rowOff>
    </xdr:to>
    <xdr:sp macro="" textlink="">
      <xdr:nvSpPr>
        <xdr:cNvPr id="7" name="Seta: Divisa 6">
          <a:extLst>
            <a:ext uri="{FF2B5EF4-FFF2-40B4-BE49-F238E27FC236}">
              <a16:creationId xmlns:a16="http://schemas.microsoft.com/office/drawing/2014/main" id="{63BC0158-1403-4399-9D18-B18524FE6CF5}"/>
            </a:ext>
          </a:extLst>
        </xdr:cNvPr>
        <xdr:cNvSpPr/>
      </xdr:nvSpPr>
      <xdr:spPr>
        <a:xfrm rot="10800000">
          <a:off x="2411186" y="2901043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5443</xdr:colOff>
      <xdr:row>13</xdr:row>
      <xdr:rowOff>157843</xdr:rowOff>
    </xdr:from>
    <xdr:to>
      <xdr:col>16</xdr:col>
      <xdr:colOff>631371</xdr:colOff>
      <xdr:row>17</xdr:row>
      <xdr:rowOff>5443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EFA802D1-53C8-4435-A83A-EA5624405929}"/>
            </a:ext>
          </a:extLst>
        </xdr:cNvPr>
        <xdr:cNvSpPr/>
      </xdr:nvSpPr>
      <xdr:spPr>
        <a:xfrm>
          <a:off x="7190014" y="2715986"/>
          <a:ext cx="3891643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SALDOS E EXTRATOS</a:t>
          </a:r>
        </a:p>
      </xdr:txBody>
    </xdr:sp>
    <xdr:clientData/>
  </xdr:twoCellAnchor>
  <xdr:twoCellAnchor>
    <xdr:from>
      <xdr:col>16</xdr:col>
      <xdr:colOff>174171</xdr:colOff>
      <xdr:row>14</xdr:row>
      <xdr:rowOff>92529</xdr:rowOff>
    </xdr:from>
    <xdr:to>
      <xdr:col>16</xdr:col>
      <xdr:colOff>484414</xdr:colOff>
      <xdr:row>16</xdr:row>
      <xdr:rowOff>65315</xdr:rowOff>
    </xdr:to>
    <xdr:sp macro="" textlink="">
      <xdr:nvSpPr>
        <xdr:cNvPr id="9" name="Seta: Divisa 8">
          <a:extLst>
            <a:ext uri="{FF2B5EF4-FFF2-40B4-BE49-F238E27FC236}">
              <a16:creationId xmlns:a16="http://schemas.microsoft.com/office/drawing/2014/main" id="{3F2C4682-2976-4C39-B1A9-86481BE58F0A}"/>
            </a:ext>
          </a:extLst>
        </xdr:cNvPr>
        <xdr:cNvSpPr/>
      </xdr:nvSpPr>
      <xdr:spPr>
        <a:xfrm>
          <a:off x="10624457" y="28357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8</xdr:row>
      <xdr:rowOff>152400</xdr:rowOff>
    </xdr:from>
    <xdr:to>
      <xdr:col>5</xdr:col>
      <xdr:colOff>647701</xdr:colOff>
      <xdr:row>11</xdr:row>
      <xdr:rowOff>185056</xdr:rowOff>
    </xdr:to>
    <xdr:sp macro="[0]!digiteVint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C890DAD-0D82-4539-B90D-605F69F34112}"/>
            </a:ext>
          </a:extLst>
        </xdr:cNvPr>
        <xdr:cNvSpPr/>
      </xdr:nvSpPr>
      <xdr:spPr>
        <a:xfrm>
          <a:off x="1306286" y="1632857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R$ 20,00</a:t>
          </a:r>
        </a:p>
      </xdr:txBody>
    </xdr:sp>
    <xdr:clientData/>
  </xdr:twoCellAnchor>
  <xdr:twoCellAnchor>
    <xdr:from>
      <xdr:col>2</xdr:col>
      <xdr:colOff>136072</xdr:colOff>
      <xdr:row>9</xdr:row>
      <xdr:rowOff>103415</xdr:rowOff>
    </xdr:from>
    <xdr:to>
      <xdr:col>2</xdr:col>
      <xdr:colOff>446315</xdr:colOff>
      <xdr:row>11</xdr:row>
      <xdr:rowOff>76200</xdr:rowOff>
    </xdr:to>
    <xdr:sp macro="[0]!digiteVinte" textlink="">
      <xdr:nvSpPr>
        <xdr:cNvPr id="3" name="Seta: Divisa 2">
          <a:extLst>
            <a:ext uri="{FF2B5EF4-FFF2-40B4-BE49-F238E27FC236}">
              <a16:creationId xmlns:a16="http://schemas.microsoft.com/office/drawing/2014/main" id="{C459AF8F-8924-4577-8E29-97CC20C6641C}"/>
            </a:ext>
          </a:extLst>
        </xdr:cNvPr>
        <xdr:cNvSpPr/>
      </xdr:nvSpPr>
      <xdr:spPr>
        <a:xfrm rot="10800000">
          <a:off x="1442358" y="1768929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5</xdr:col>
      <xdr:colOff>647701</xdr:colOff>
      <xdr:row>16</xdr:row>
      <xdr:rowOff>32657</xdr:rowOff>
    </xdr:to>
    <xdr:sp macro="[0]!digiteQuarent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E66EBE-F183-4399-ACDC-70083108A3CB}"/>
            </a:ext>
          </a:extLst>
        </xdr:cNvPr>
        <xdr:cNvSpPr/>
      </xdr:nvSpPr>
      <xdr:spPr>
        <a:xfrm>
          <a:off x="1306286" y="2405743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R$ 40,00</a:t>
          </a:r>
        </a:p>
      </xdr:txBody>
    </xdr:sp>
    <xdr:clientData/>
  </xdr:twoCellAnchor>
  <xdr:twoCellAnchor>
    <xdr:from>
      <xdr:col>2</xdr:col>
      <xdr:colOff>136072</xdr:colOff>
      <xdr:row>13</xdr:row>
      <xdr:rowOff>136072</xdr:rowOff>
    </xdr:from>
    <xdr:to>
      <xdr:col>2</xdr:col>
      <xdr:colOff>446315</xdr:colOff>
      <xdr:row>15</xdr:row>
      <xdr:rowOff>108858</xdr:rowOff>
    </xdr:to>
    <xdr:sp macro="[0]!digiteQuarenta" textlink="">
      <xdr:nvSpPr>
        <xdr:cNvPr id="5" name="Seta: Divisa 4">
          <a:extLst>
            <a:ext uri="{FF2B5EF4-FFF2-40B4-BE49-F238E27FC236}">
              <a16:creationId xmlns:a16="http://schemas.microsoft.com/office/drawing/2014/main" id="{9368E302-06C4-489E-A0FE-CEB53164A35D}"/>
            </a:ext>
          </a:extLst>
        </xdr:cNvPr>
        <xdr:cNvSpPr/>
      </xdr:nvSpPr>
      <xdr:spPr>
        <a:xfrm rot="10800000">
          <a:off x="1442358" y="254181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16330</xdr:colOff>
      <xdr:row>17</xdr:row>
      <xdr:rowOff>1</xdr:rowOff>
    </xdr:from>
    <xdr:to>
      <xdr:col>5</xdr:col>
      <xdr:colOff>636816</xdr:colOff>
      <xdr:row>20</xdr:row>
      <xdr:rowOff>32657</xdr:rowOff>
    </xdr:to>
    <xdr:sp macro="[0]!digiteCinquent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27726A4-677A-438B-819F-B36BB6ED970E}"/>
            </a:ext>
          </a:extLst>
        </xdr:cNvPr>
        <xdr:cNvSpPr/>
      </xdr:nvSpPr>
      <xdr:spPr>
        <a:xfrm>
          <a:off x="1322616" y="3374572"/>
          <a:ext cx="2579914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R$ 50,00</a:t>
          </a:r>
        </a:p>
      </xdr:txBody>
    </xdr:sp>
    <xdr:clientData/>
  </xdr:twoCellAnchor>
  <xdr:twoCellAnchor>
    <xdr:from>
      <xdr:col>2</xdr:col>
      <xdr:colOff>152401</xdr:colOff>
      <xdr:row>17</xdr:row>
      <xdr:rowOff>136073</xdr:rowOff>
    </xdr:from>
    <xdr:to>
      <xdr:col>2</xdr:col>
      <xdr:colOff>459405</xdr:colOff>
      <xdr:row>19</xdr:row>
      <xdr:rowOff>108858</xdr:rowOff>
    </xdr:to>
    <xdr:sp macro="[0]!digiteCinquenta" textlink="">
      <xdr:nvSpPr>
        <xdr:cNvPr id="7" name="Seta: Divisa 6">
          <a:extLst>
            <a:ext uri="{FF2B5EF4-FFF2-40B4-BE49-F238E27FC236}">
              <a16:creationId xmlns:a16="http://schemas.microsoft.com/office/drawing/2014/main" id="{C5BE334A-32DF-4C0B-AC9C-F6ADEFCB74E6}"/>
            </a:ext>
          </a:extLst>
        </xdr:cNvPr>
        <xdr:cNvSpPr/>
      </xdr:nvSpPr>
      <xdr:spPr>
        <a:xfrm rot="10800000">
          <a:off x="1458687" y="3510644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5444</xdr:colOff>
      <xdr:row>21</xdr:row>
      <xdr:rowOff>5443</xdr:rowOff>
    </xdr:from>
    <xdr:to>
      <xdr:col>5</xdr:col>
      <xdr:colOff>625930</xdr:colOff>
      <xdr:row>24</xdr:row>
      <xdr:rowOff>38100</xdr:rowOff>
    </xdr:to>
    <xdr:sp macro="[0]!digiteCem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CD055A18-4578-417B-B381-F6ECC705EA34}"/>
            </a:ext>
          </a:extLst>
        </xdr:cNvPr>
        <xdr:cNvSpPr/>
      </xdr:nvSpPr>
      <xdr:spPr>
        <a:xfrm>
          <a:off x="1311730" y="4120243"/>
          <a:ext cx="2579914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R$ 100,00</a:t>
          </a:r>
        </a:p>
      </xdr:txBody>
    </xdr:sp>
    <xdr:clientData/>
  </xdr:twoCellAnchor>
  <xdr:twoCellAnchor>
    <xdr:from>
      <xdr:col>2</xdr:col>
      <xdr:colOff>141515</xdr:colOff>
      <xdr:row>21</xdr:row>
      <xdr:rowOff>141515</xdr:rowOff>
    </xdr:from>
    <xdr:to>
      <xdr:col>2</xdr:col>
      <xdr:colOff>448519</xdr:colOff>
      <xdr:row>23</xdr:row>
      <xdr:rowOff>114301</xdr:rowOff>
    </xdr:to>
    <xdr:sp macro="[0]!digiteCem" textlink="">
      <xdr:nvSpPr>
        <xdr:cNvPr id="9" name="Seta: Divisa 8">
          <a:extLst>
            <a:ext uri="{FF2B5EF4-FFF2-40B4-BE49-F238E27FC236}">
              <a16:creationId xmlns:a16="http://schemas.microsoft.com/office/drawing/2014/main" id="{BE456B8F-B756-4FC7-AD7B-7C0DC609AB0C}"/>
            </a:ext>
          </a:extLst>
        </xdr:cNvPr>
        <xdr:cNvSpPr/>
      </xdr:nvSpPr>
      <xdr:spPr>
        <a:xfrm rot="10800000">
          <a:off x="1447801" y="4256315"/>
          <a:ext cx="307004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5443</xdr:colOff>
      <xdr:row>8</xdr:row>
      <xdr:rowOff>168729</xdr:rowOff>
    </xdr:from>
    <xdr:to>
      <xdr:col>13</xdr:col>
      <xdr:colOff>1</xdr:colOff>
      <xdr:row>12</xdr:row>
      <xdr:rowOff>16328</xdr:rowOff>
    </xdr:to>
    <xdr:sp macro="[0]!digiteDuzentos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3BDBE748-6693-4FD0-B3DF-45EF854B078A}"/>
            </a:ext>
          </a:extLst>
        </xdr:cNvPr>
        <xdr:cNvSpPr/>
      </xdr:nvSpPr>
      <xdr:spPr>
        <a:xfrm>
          <a:off x="5883729" y="1649186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R$ 200,00</a:t>
          </a:r>
        </a:p>
      </xdr:txBody>
    </xdr:sp>
    <xdr:clientData/>
  </xdr:twoCellAnchor>
  <xdr:twoCellAnchor>
    <xdr:from>
      <xdr:col>12</xdr:col>
      <xdr:colOff>201387</xdr:colOff>
      <xdr:row>9</xdr:row>
      <xdr:rowOff>108858</xdr:rowOff>
    </xdr:from>
    <xdr:to>
      <xdr:col>12</xdr:col>
      <xdr:colOff>511630</xdr:colOff>
      <xdr:row>11</xdr:row>
      <xdr:rowOff>81643</xdr:rowOff>
    </xdr:to>
    <xdr:sp macro="[0]!digiteDuzentos" textlink="">
      <xdr:nvSpPr>
        <xdr:cNvPr id="11" name="Seta: Divisa 10">
          <a:extLst>
            <a:ext uri="{FF2B5EF4-FFF2-40B4-BE49-F238E27FC236}">
              <a16:creationId xmlns:a16="http://schemas.microsoft.com/office/drawing/2014/main" id="{4F51522F-4C6E-4213-B9B4-A7AF7D8FC9F2}"/>
            </a:ext>
          </a:extLst>
        </xdr:cNvPr>
        <xdr:cNvSpPr/>
      </xdr:nvSpPr>
      <xdr:spPr>
        <a:xfrm>
          <a:off x="8039101" y="1774372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168729</xdr:rowOff>
    </xdr:from>
    <xdr:to>
      <xdr:col>12</xdr:col>
      <xdr:colOff>647701</xdr:colOff>
      <xdr:row>16</xdr:row>
      <xdr:rowOff>16329</xdr:rowOff>
    </xdr:to>
    <xdr:sp macro="[0]!digiteTrezentos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F6B8AC6-6F5B-49C1-983C-9A170250C43C}"/>
            </a:ext>
          </a:extLst>
        </xdr:cNvPr>
        <xdr:cNvSpPr/>
      </xdr:nvSpPr>
      <xdr:spPr>
        <a:xfrm>
          <a:off x="5878286" y="2389415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R$ 300,00</a:t>
          </a:r>
        </a:p>
      </xdr:txBody>
    </xdr:sp>
    <xdr:clientData/>
  </xdr:twoCellAnchor>
  <xdr:twoCellAnchor>
    <xdr:from>
      <xdr:col>12</xdr:col>
      <xdr:colOff>195944</xdr:colOff>
      <xdr:row>13</xdr:row>
      <xdr:rowOff>108858</xdr:rowOff>
    </xdr:from>
    <xdr:to>
      <xdr:col>12</xdr:col>
      <xdr:colOff>506187</xdr:colOff>
      <xdr:row>15</xdr:row>
      <xdr:rowOff>81644</xdr:rowOff>
    </xdr:to>
    <xdr:sp macro="[0]!digiteTrezentos" textlink="">
      <xdr:nvSpPr>
        <xdr:cNvPr id="13" name="Seta: Divisa 12">
          <a:extLst>
            <a:ext uri="{FF2B5EF4-FFF2-40B4-BE49-F238E27FC236}">
              <a16:creationId xmlns:a16="http://schemas.microsoft.com/office/drawing/2014/main" id="{3C3683AB-F61E-43BE-B1C1-695AB39E06BF}"/>
            </a:ext>
          </a:extLst>
        </xdr:cNvPr>
        <xdr:cNvSpPr/>
      </xdr:nvSpPr>
      <xdr:spPr>
        <a:xfrm>
          <a:off x="8033658" y="2514601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16</xdr:row>
      <xdr:rowOff>179616</xdr:rowOff>
    </xdr:from>
    <xdr:to>
      <xdr:col>13</xdr:col>
      <xdr:colOff>0</xdr:colOff>
      <xdr:row>20</xdr:row>
      <xdr:rowOff>27215</xdr:rowOff>
    </xdr:to>
    <xdr:sp macro="[0]!digiteQuinhentos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E007CA3-FEDF-462F-8900-17ECE4961242}"/>
            </a:ext>
          </a:extLst>
        </xdr:cNvPr>
        <xdr:cNvSpPr/>
      </xdr:nvSpPr>
      <xdr:spPr>
        <a:xfrm>
          <a:off x="5883728" y="3140530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R$ 500,00</a:t>
          </a:r>
        </a:p>
      </xdr:txBody>
    </xdr:sp>
    <xdr:clientData/>
  </xdr:twoCellAnchor>
  <xdr:twoCellAnchor>
    <xdr:from>
      <xdr:col>12</xdr:col>
      <xdr:colOff>201386</xdr:colOff>
      <xdr:row>17</xdr:row>
      <xdr:rowOff>119745</xdr:rowOff>
    </xdr:from>
    <xdr:to>
      <xdr:col>12</xdr:col>
      <xdr:colOff>511629</xdr:colOff>
      <xdr:row>19</xdr:row>
      <xdr:rowOff>92530</xdr:rowOff>
    </xdr:to>
    <xdr:sp macro="[0]!digiteQuinhentos" textlink="">
      <xdr:nvSpPr>
        <xdr:cNvPr id="15" name="Seta: Divisa 14">
          <a:extLst>
            <a:ext uri="{FF2B5EF4-FFF2-40B4-BE49-F238E27FC236}">
              <a16:creationId xmlns:a16="http://schemas.microsoft.com/office/drawing/2014/main" id="{D557723E-7610-413C-A407-EDA1C3F063A6}"/>
            </a:ext>
          </a:extLst>
        </xdr:cNvPr>
        <xdr:cNvSpPr/>
      </xdr:nvSpPr>
      <xdr:spPr>
        <a:xfrm>
          <a:off x="8039100" y="3265716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5442</xdr:colOff>
      <xdr:row>20</xdr:row>
      <xdr:rowOff>179616</xdr:rowOff>
    </xdr:from>
    <xdr:to>
      <xdr:col>13</xdr:col>
      <xdr:colOff>0</xdr:colOff>
      <xdr:row>24</xdr:row>
      <xdr:rowOff>27216</xdr:rowOff>
    </xdr:to>
    <xdr:sp macro="[0]!digiteMil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CC5F1136-92A1-45DD-81BD-B9CD0F84184D}"/>
            </a:ext>
          </a:extLst>
        </xdr:cNvPr>
        <xdr:cNvSpPr/>
      </xdr:nvSpPr>
      <xdr:spPr>
        <a:xfrm>
          <a:off x="5883728" y="3880759"/>
          <a:ext cx="2607129" cy="587828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>
              <a:solidFill>
                <a:sysClr val="windowText" lastClr="000000"/>
              </a:solidFill>
            </a:rPr>
            <a:t>R$ 1.000,00</a:t>
          </a:r>
        </a:p>
      </xdr:txBody>
    </xdr:sp>
    <xdr:clientData/>
  </xdr:twoCellAnchor>
  <xdr:twoCellAnchor>
    <xdr:from>
      <xdr:col>12</xdr:col>
      <xdr:colOff>201386</xdr:colOff>
      <xdr:row>21</xdr:row>
      <xdr:rowOff>119745</xdr:rowOff>
    </xdr:from>
    <xdr:to>
      <xdr:col>12</xdr:col>
      <xdr:colOff>511629</xdr:colOff>
      <xdr:row>23</xdr:row>
      <xdr:rowOff>92531</xdr:rowOff>
    </xdr:to>
    <xdr:sp macro="[0]!digiteMil" textlink="">
      <xdr:nvSpPr>
        <xdr:cNvPr id="17" name="Seta: Divisa 16">
          <a:extLst>
            <a:ext uri="{FF2B5EF4-FFF2-40B4-BE49-F238E27FC236}">
              <a16:creationId xmlns:a16="http://schemas.microsoft.com/office/drawing/2014/main" id="{ADC38CEA-59C6-4B22-9A41-0AFFA036427A}"/>
            </a:ext>
          </a:extLst>
        </xdr:cNvPr>
        <xdr:cNvSpPr/>
      </xdr:nvSpPr>
      <xdr:spPr>
        <a:xfrm>
          <a:off x="8039100" y="4005945"/>
          <a:ext cx="310243" cy="342900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783771</xdr:colOff>
          <xdr:row>30</xdr:row>
          <xdr:rowOff>108857</xdr:rowOff>
        </xdr:from>
        <xdr:to>
          <xdr:col>8</xdr:col>
          <xdr:colOff>462643</xdr:colOff>
          <xdr:row>32</xdr:row>
          <xdr:rowOff>119743</xdr:rowOff>
        </xdr:to>
        <xdr:sp macro="" textlink="">
          <xdr:nvSpPr>
            <xdr:cNvPr id="4097" name="txtValo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244928</xdr:colOff>
      <xdr:row>3</xdr:row>
      <xdr:rowOff>174172</xdr:rowOff>
    </xdr:from>
    <xdr:to>
      <xdr:col>3</xdr:col>
      <xdr:colOff>266700</xdr:colOff>
      <xdr:row>5</xdr:row>
      <xdr:rowOff>255814</xdr:rowOff>
    </xdr:to>
    <xdr:sp macro="[0]!voltarTelaSaqueParaPrincipal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89D47F9F-A792-41BD-80D3-C4E21B1D1918}"/>
            </a:ext>
          </a:extLst>
        </xdr:cNvPr>
        <xdr:cNvSpPr/>
      </xdr:nvSpPr>
      <xdr:spPr>
        <a:xfrm>
          <a:off x="244928" y="729343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0</xdr:col>
      <xdr:colOff>380998</xdr:colOff>
      <xdr:row>4</xdr:row>
      <xdr:rowOff>125185</xdr:rowOff>
    </xdr:from>
    <xdr:to>
      <xdr:col>0</xdr:col>
      <xdr:colOff>616757</xdr:colOff>
      <xdr:row>5</xdr:row>
      <xdr:rowOff>171903</xdr:rowOff>
    </xdr:to>
    <xdr:sp macro="[0]!voltarTelaSaqueParaPrincipal" textlink="">
      <xdr:nvSpPr>
        <xdr:cNvPr id="19" name="Seta: Divisa 18">
          <a:extLst>
            <a:ext uri="{FF2B5EF4-FFF2-40B4-BE49-F238E27FC236}">
              <a16:creationId xmlns:a16="http://schemas.microsoft.com/office/drawing/2014/main" id="{AB94B17F-7F21-4495-816C-D47E7366AC7E}"/>
            </a:ext>
          </a:extLst>
        </xdr:cNvPr>
        <xdr:cNvSpPr/>
      </xdr:nvSpPr>
      <xdr:spPr>
        <a:xfrm rot="10800000">
          <a:off x="380998" y="865414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266700</xdr:colOff>
      <xdr:row>3</xdr:row>
      <xdr:rowOff>179615</xdr:rowOff>
    </xdr:from>
    <xdr:to>
      <xdr:col>14</xdr:col>
      <xdr:colOff>288472</xdr:colOff>
      <xdr:row>6</xdr:row>
      <xdr:rowOff>0</xdr:rowOff>
    </xdr:to>
    <xdr:sp macro="[0]!sacarDinheiro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7E931527-9DB0-400F-BA29-6700F456B00E}"/>
            </a:ext>
          </a:extLst>
        </xdr:cNvPr>
        <xdr:cNvSpPr/>
      </xdr:nvSpPr>
      <xdr:spPr>
        <a:xfrm>
          <a:off x="7451271" y="734786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SACAR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337457</xdr:colOff>
      <xdr:row>8</xdr:row>
      <xdr:rowOff>21773</xdr:rowOff>
    </xdr:from>
    <xdr:to>
      <xdr:col>13</xdr:col>
      <xdr:colOff>332014</xdr:colOff>
      <xdr:row>28</xdr:row>
      <xdr:rowOff>168729</xdr:rowOff>
    </xdr:to>
    <xdr:sp macro="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2CE78964-9FEA-D834-9213-474200D34D3A}"/>
            </a:ext>
          </a:extLst>
        </xdr:cNvPr>
        <xdr:cNvSpPr/>
      </xdr:nvSpPr>
      <xdr:spPr>
        <a:xfrm>
          <a:off x="2296886" y="1578430"/>
          <a:ext cx="6525985" cy="3864428"/>
        </a:xfrm>
        <a:prstGeom prst="roundRect">
          <a:avLst>
            <a:gd name="adj" fmla="val 4273"/>
          </a:avLst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0</xdr:colOff>
      <xdr:row>3</xdr:row>
      <xdr:rowOff>0</xdr:rowOff>
    </xdr:from>
    <xdr:to>
      <xdr:col>4</xdr:col>
      <xdr:colOff>21773</xdr:colOff>
      <xdr:row>5</xdr:row>
      <xdr:rowOff>157842</xdr:rowOff>
    </xdr:to>
    <xdr:sp macro="[0]!telaSaqu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596C463-6CD1-4947-AF65-7CBCFAE95B34}"/>
            </a:ext>
          </a:extLst>
        </xdr:cNvPr>
        <xdr:cNvSpPr/>
      </xdr:nvSpPr>
      <xdr:spPr>
        <a:xfrm>
          <a:off x="653143" y="555171"/>
          <a:ext cx="1981201" cy="527957"/>
        </a:xfrm>
        <a:prstGeom prst="round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ysClr val="windowText" lastClr="000000"/>
              </a:solidFill>
            </a:rPr>
            <a:t>VOLTAR</a:t>
          </a:r>
        </a:p>
      </xdr:txBody>
    </xdr:sp>
    <xdr:clientData/>
  </xdr:twoCellAnchor>
  <xdr:twoCellAnchor>
    <xdr:from>
      <xdr:col>1</xdr:col>
      <xdr:colOff>136070</xdr:colOff>
      <xdr:row>3</xdr:row>
      <xdr:rowOff>136071</xdr:rowOff>
    </xdr:from>
    <xdr:to>
      <xdr:col>1</xdr:col>
      <xdr:colOff>371829</xdr:colOff>
      <xdr:row>5</xdr:row>
      <xdr:rowOff>73931</xdr:rowOff>
    </xdr:to>
    <xdr:sp macro="[0]!telaSaque" textlink="">
      <xdr:nvSpPr>
        <xdr:cNvPr id="3" name="Seta: Divisa 2">
          <a:extLst>
            <a:ext uri="{FF2B5EF4-FFF2-40B4-BE49-F238E27FC236}">
              <a16:creationId xmlns:a16="http://schemas.microsoft.com/office/drawing/2014/main" id="{FE3C456E-215B-49C4-AC64-AE1EC7ACC03B}"/>
            </a:ext>
          </a:extLst>
        </xdr:cNvPr>
        <xdr:cNvSpPr/>
      </xdr:nvSpPr>
      <xdr:spPr>
        <a:xfrm rot="10800000">
          <a:off x="789213" y="691242"/>
          <a:ext cx="235759" cy="307975"/>
        </a:xfrm>
        <a:prstGeom prst="chevr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4</xdr:col>
      <xdr:colOff>261257</xdr:colOff>
      <xdr:row>8</xdr:row>
      <xdr:rowOff>157843</xdr:rowOff>
    </xdr:from>
    <xdr:to>
      <xdr:col>6</xdr:col>
      <xdr:colOff>370114</xdr:colOff>
      <xdr:row>12</xdr:row>
      <xdr:rowOff>172357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306692CA-646B-8AF4-476F-6D2952D05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73828" y="1714500"/>
          <a:ext cx="1415143" cy="754743"/>
        </a:xfrm>
        <a:prstGeom prst="rect">
          <a:avLst/>
        </a:prstGeom>
      </xdr:spPr>
    </xdr:pic>
    <xdr:clientData/>
  </xdr:twoCellAnchor>
  <xdr:twoCellAnchor editAs="oneCell">
    <xdr:from>
      <xdr:col>4</xdr:col>
      <xdr:colOff>244929</xdr:colOff>
      <xdr:row>14</xdr:row>
      <xdr:rowOff>32658</xdr:rowOff>
    </xdr:from>
    <xdr:to>
      <xdr:col>6</xdr:col>
      <xdr:colOff>381419</xdr:colOff>
      <xdr:row>17</xdr:row>
      <xdr:rowOff>136072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3B8EAE4-82D5-6822-1B0A-7039FD51D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7500" y="2705101"/>
          <a:ext cx="1442776" cy="658585"/>
        </a:xfrm>
        <a:prstGeom prst="rect">
          <a:avLst/>
        </a:prstGeom>
      </xdr:spPr>
    </xdr:pic>
    <xdr:clientData/>
  </xdr:twoCellAnchor>
  <xdr:twoCellAnchor editAs="oneCell">
    <xdr:from>
      <xdr:col>4</xdr:col>
      <xdr:colOff>201386</xdr:colOff>
      <xdr:row>19</xdr:row>
      <xdr:rowOff>27215</xdr:rowOff>
    </xdr:from>
    <xdr:to>
      <xdr:col>6</xdr:col>
      <xdr:colOff>365871</xdr:colOff>
      <xdr:row>22</xdr:row>
      <xdr:rowOff>141515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A5D1799C-881F-7854-E6F1-6BC545607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13957" y="3619501"/>
          <a:ext cx="1470771" cy="669472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190500</xdr:colOff>
      <xdr:row>24</xdr:row>
      <xdr:rowOff>65316</xdr:rowOff>
    </xdr:from>
    <xdr:to>
      <xdr:col>6</xdr:col>
      <xdr:colOff>348344</xdr:colOff>
      <xdr:row>27</xdr:row>
      <xdr:rowOff>183645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408335BD-D90C-C37A-4A38-86DFF4662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03071" y="4582887"/>
          <a:ext cx="1464130" cy="673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7B7BD-0FA9-4030-AFD7-14C7A60FBA71}">
  <sheetPr codeName="Planilha1"/>
  <dimension ref="D2:K16"/>
  <sheetViews>
    <sheetView workbookViewId="0">
      <selection activeCell="D3" sqref="D3:K5"/>
    </sheetView>
  </sheetViews>
  <sheetFormatPr defaultRowHeight="14.6" x14ac:dyDescent="0.4"/>
  <sheetData>
    <row r="2" spans="4:11" x14ac:dyDescent="0.4">
      <c r="D2">
        <f>C2-SUMIFS(Transações!E:E,Transações!B:B,Contas!A2,Transações!D:D,"D")
+
SUMIFS(Transações!E:E,Transações!B:B,Contas!A2,Transações!D:D,"C")</f>
        <v>-539</v>
      </c>
    </row>
    <row r="3" spans="4:11" x14ac:dyDescent="0.4">
      <c r="D3" s="10" t="s">
        <v>0</v>
      </c>
      <c r="E3" s="10"/>
      <c r="F3" s="10"/>
      <c r="G3" s="10"/>
      <c r="H3" s="10"/>
      <c r="I3" s="10"/>
      <c r="J3" s="10"/>
      <c r="K3" s="10"/>
    </row>
    <row r="4" spans="4:11" x14ac:dyDescent="0.4">
      <c r="D4" s="10"/>
      <c r="E4" s="10"/>
      <c r="F4" s="10"/>
      <c r="G4" s="10"/>
      <c r="H4" s="10"/>
      <c r="I4" s="10"/>
      <c r="J4" s="10"/>
      <c r="K4" s="10"/>
    </row>
    <row r="5" spans="4:11" x14ac:dyDescent="0.4">
      <c r="D5" s="10"/>
      <c r="E5" s="10"/>
      <c r="F5" s="10"/>
      <c r="G5" s="10"/>
      <c r="H5" s="10"/>
      <c r="I5" s="10"/>
      <c r="J5" s="10"/>
      <c r="K5" s="10"/>
    </row>
    <row r="10" spans="4:11" ht="23.6" x14ac:dyDescent="0.65">
      <c r="E10" s="1" t="s">
        <v>1</v>
      </c>
    </row>
    <row r="16" spans="4:11" ht="23.6" x14ac:dyDescent="0.65">
      <c r="E16" s="1" t="s">
        <v>2</v>
      </c>
    </row>
  </sheetData>
  <mergeCells count="1">
    <mergeCell ref="D3:K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txtConta">
          <controlPr defaultSize="0" autoLine="0" r:id="rId5">
            <anchor moveWithCells="1">
              <from>
                <xdr:col>4</xdr:col>
                <xdr:colOff>54429</xdr:colOff>
                <xdr:row>10</xdr:row>
                <xdr:rowOff>65314</xdr:rowOff>
              </from>
              <to>
                <xdr:col>8</xdr:col>
                <xdr:colOff>43543</xdr:colOff>
                <xdr:row>12</xdr:row>
                <xdr:rowOff>32657</xdr:rowOff>
              </to>
            </anchor>
          </controlPr>
        </control>
      </mc:Choice>
      <mc:Fallback>
        <control shapeId="1025" r:id="rId4" name="txtConta"/>
      </mc:Fallback>
    </mc:AlternateContent>
    <mc:AlternateContent xmlns:mc="http://schemas.openxmlformats.org/markup-compatibility/2006">
      <mc:Choice Requires="x14">
        <control shapeId="1027" r:id="rId6" name="txtSenha">
          <controlPr defaultSize="0" autoLine="0" r:id="rId7">
            <anchor moveWithCells="1">
              <from>
                <xdr:col>4</xdr:col>
                <xdr:colOff>54429</xdr:colOff>
                <xdr:row>16</xdr:row>
                <xdr:rowOff>65314</xdr:rowOff>
              </from>
              <to>
                <xdr:col>8</xdr:col>
                <xdr:colOff>43543</xdr:colOff>
                <xdr:row>18</xdr:row>
                <xdr:rowOff>32657</xdr:rowOff>
              </to>
            </anchor>
          </controlPr>
        </control>
      </mc:Choice>
      <mc:Fallback>
        <control shapeId="1027" r:id="rId6" name="txtSenha"/>
      </mc:Fallback>
    </mc:AlternateContent>
    <mc:AlternateContent xmlns:mc="http://schemas.openxmlformats.org/markup-compatibility/2006">
      <mc:Choice Requires="x14">
        <control shapeId="1029" r:id="rId8" name="btnLogar">
          <controlPr defaultSize="0" autoLine="0" autoPict="0" r:id="rId9">
            <anchor moveWithCells="1">
              <from>
                <xdr:col>3</xdr:col>
                <xdr:colOff>647700</xdr:colOff>
                <xdr:row>19</xdr:row>
                <xdr:rowOff>97971</xdr:rowOff>
              </from>
              <to>
                <xdr:col>8</xdr:col>
                <xdr:colOff>92529</xdr:colOff>
                <xdr:row>23</xdr:row>
                <xdr:rowOff>27214</xdr:rowOff>
              </to>
            </anchor>
          </controlPr>
        </control>
      </mc:Choice>
      <mc:Fallback>
        <control shapeId="1029" r:id="rId8" name="btnLog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81007-BA8B-4E14-88CA-796B8CDE68A7}">
  <sheetPr codeName="Planilha2"/>
  <dimension ref="A1:K18"/>
  <sheetViews>
    <sheetView workbookViewId="0">
      <selection activeCell="A6" sqref="A6"/>
    </sheetView>
  </sheetViews>
  <sheetFormatPr defaultRowHeight="14.6" x14ac:dyDescent="0.4"/>
  <cols>
    <col min="1" max="1" width="7.921875" bestFit="1" customWidth="1"/>
    <col min="2" max="2" width="8.15234375" bestFit="1" customWidth="1"/>
    <col min="3" max="3" width="14.921875" bestFit="1" customWidth="1"/>
    <col min="4" max="4" width="13.61328125" bestFit="1" customWidth="1"/>
    <col min="5" max="5" width="7.4609375" bestFit="1" customWidth="1"/>
    <col min="10" max="10" width="16.84375" bestFit="1" customWidth="1"/>
    <col min="11" max="11" width="16.4609375" style="6" customWidth="1"/>
  </cols>
  <sheetData>
    <row r="1" spans="1:11" ht="20.6" x14ac:dyDescent="0.55000000000000004">
      <c r="A1" s="4" t="s">
        <v>3</v>
      </c>
      <c r="B1" s="4" t="s">
        <v>4</v>
      </c>
      <c r="C1" s="4" t="s">
        <v>5</v>
      </c>
      <c r="D1" s="4" t="s">
        <v>6</v>
      </c>
      <c r="E1" s="4" t="s">
        <v>7</v>
      </c>
      <c r="F1" s="4" t="s">
        <v>8</v>
      </c>
      <c r="J1" s="4" t="s">
        <v>16</v>
      </c>
      <c r="K1" s="5" t="s">
        <v>17</v>
      </c>
    </row>
    <row r="2" spans="1:11" x14ac:dyDescent="0.4">
      <c r="A2">
        <v>98545</v>
      </c>
      <c r="B2" t="s">
        <v>9</v>
      </c>
      <c r="C2" s="3">
        <v>1000</v>
      </c>
      <c r="D2" s="3">
        <f>C2-SUMIFS(Transações!E:E,Transações!B:B,Contas!A2,Transações!D:D,"D")
+
SUMIFS(Transações!E:E,Transações!B:B,Contas!A2,Transações!D:D,"C")</f>
        <v>461</v>
      </c>
      <c r="E2" t="s">
        <v>10</v>
      </c>
      <c r="F2" t="s">
        <v>11</v>
      </c>
      <c r="J2">
        <v>45133</v>
      </c>
      <c r="K2" s="6">
        <f>VLOOKUP(J2,A:F,3,0)</f>
        <v>10000</v>
      </c>
    </row>
    <row r="3" spans="1:11" x14ac:dyDescent="0.4">
      <c r="A3">
        <v>64564</v>
      </c>
      <c r="B3" t="s">
        <v>9</v>
      </c>
      <c r="C3" s="3">
        <v>1500</v>
      </c>
      <c r="D3" s="3">
        <f>C3-SUMIFS(Transações!E:E,Transações!B:B,Contas!A3,Transações!D:D,"D")
+
SUMIFS(Transações!E:E,Transações!B:B,Contas!A3,Transações!D:D,"C")</f>
        <v>1500</v>
      </c>
      <c r="E3" t="s">
        <v>12</v>
      </c>
      <c r="F3" t="s">
        <v>11</v>
      </c>
    </row>
    <row r="4" spans="1:11" x14ac:dyDescent="0.4">
      <c r="A4">
        <v>32456</v>
      </c>
      <c r="B4" t="s">
        <v>9</v>
      </c>
      <c r="C4" s="3">
        <v>2000</v>
      </c>
      <c r="D4" s="3">
        <f>C4-SUMIFS(Transações!E:E,Transações!B:B,Contas!A4,Transações!D:D,"D")
+
SUMIFS(Transações!E:E,Transações!B:B,Contas!A4,Transações!D:D,"C")</f>
        <v>2000</v>
      </c>
      <c r="E4" t="s">
        <v>13</v>
      </c>
      <c r="F4" t="s">
        <v>11</v>
      </c>
    </row>
    <row r="5" spans="1:11" x14ac:dyDescent="0.4">
      <c r="A5">
        <v>78963</v>
      </c>
      <c r="B5" t="s">
        <v>9</v>
      </c>
      <c r="C5" s="3">
        <v>1859</v>
      </c>
      <c r="D5" s="3">
        <f>C5-SUMIFS(Transações!E:E,Transações!B:B,Contas!A5,Transações!D:D,"D")
+
SUMIFS(Transações!E:E,Transações!B:B,Contas!A5,Transações!D:D,"C")</f>
        <v>1859</v>
      </c>
      <c r="E5" t="s">
        <v>14</v>
      </c>
      <c r="F5" t="s">
        <v>11</v>
      </c>
    </row>
    <row r="6" spans="1:11" x14ac:dyDescent="0.4">
      <c r="A6">
        <v>45133</v>
      </c>
      <c r="B6" t="s">
        <v>9</v>
      </c>
      <c r="C6" s="3">
        <v>10000</v>
      </c>
      <c r="D6" s="3">
        <f>C6-SUMIFS(Transações!E:E,Transações!B:B,Contas!A6,Transações!D:D,"D")
+
SUMIFS(Transações!E:E,Transações!B:B,Contas!A6,Transações!D:D,"C")</f>
        <v>10000</v>
      </c>
      <c r="E6" t="s">
        <v>15</v>
      </c>
      <c r="F6" t="s">
        <v>11</v>
      </c>
    </row>
    <row r="11" spans="1:11" x14ac:dyDescent="0.4">
      <c r="G11" s="6"/>
      <c r="K11"/>
    </row>
    <row r="12" spans="1:11" x14ac:dyDescent="0.4">
      <c r="G12" s="6"/>
      <c r="K12"/>
    </row>
    <row r="13" spans="1:11" x14ac:dyDescent="0.4">
      <c r="G13" s="6"/>
      <c r="K13"/>
    </row>
    <row r="14" spans="1:11" x14ac:dyDescent="0.4">
      <c r="G14" s="6"/>
      <c r="K14"/>
    </row>
    <row r="15" spans="1:11" x14ac:dyDescent="0.4">
      <c r="G15" s="6"/>
      <c r="K15"/>
    </row>
    <row r="16" spans="1:11" x14ac:dyDescent="0.4">
      <c r="G16" s="6"/>
      <c r="K16"/>
    </row>
    <row r="17" spans="7:11" x14ac:dyDescent="0.4">
      <c r="G17" s="6"/>
      <c r="K17"/>
    </row>
    <row r="18" spans="7:11" x14ac:dyDescent="0.4">
      <c r="G18" s="6"/>
      <c r="K18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969EE-38DA-4F58-A018-B32EADC5EC18}">
  <sheetPr codeName="Planilha3"/>
  <dimension ref="E5:P7"/>
  <sheetViews>
    <sheetView tabSelected="1" workbookViewId="0"/>
  </sheetViews>
  <sheetFormatPr defaultRowHeight="14.6" x14ac:dyDescent="0.4"/>
  <sheetData>
    <row r="5" spans="5:16" ht="20.6" x14ac:dyDescent="0.55000000000000004">
      <c r="E5" s="11" t="s">
        <v>18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</row>
    <row r="7" spans="5:16" ht="20.6" x14ac:dyDescent="0.55000000000000004">
      <c r="E7" s="11" t="s">
        <v>19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</row>
  </sheetData>
  <mergeCells count="2">
    <mergeCell ref="E5:P5"/>
    <mergeCell ref="E7:P7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4467F-ACA8-4D18-9D97-FFA259074D4B}">
  <sheetPr codeName="Planilha4"/>
  <dimension ref="A2:P35"/>
  <sheetViews>
    <sheetView showGridLines="0" workbookViewId="0">
      <selection activeCell="D28" sqref="D28"/>
    </sheetView>
  </sheetViews>
  <sheetFormatPr defaultColWidth="0" defaultRowHeight="14.6" x14ac:dyDescent="0.4"/>
  <cols>
    <col min="1" max="5" width="9.23046875" customWidth="1"/>
    <col min="6" max="6" width="11.84375" customWidth="1"/>
    <col min="7" max="7" width="9.23046875" customWidth="1"/>
    <col min="8" max="8" width="9.3828125" customWidth="1"/>
    <col min="9" max="9" width="8.3046875" customWidth="1"/>
    <col min="10" max="10" width="9.53515625" customWidth="1"/>
    <col min="11" max="16" width="9.23046875" customWidth="1"/>
    <col min="17" max="16384" width="9.23046875" hidden="1"/>
  </cols>
  <sheetData>
    <row r="2" spans="2:13" ht="20.6" x14ac:dyDescent="0.55000000000000004">
      <c r="B2" s="7" t="s">
        <v>1</v>
      </c>
      <c r="C2" s="7">
        <f>Contas!J2</f>
        <v>45133</v>
      </c>
      <c r="E2" s="7" t="s">
        <v>31</v>
      </c>
      <c r="F2" s="18">
        <f>VLOOKUP(C2,Contas!A:D,4,0)</f>
        <v>10000</v>
      </c>
      <c r="H2" s="7" t="s">
        <v>32</v>
      </c>
      <c r="I2" s="7" t="str">
        <f>VLOOKUP(C2,Contas!A:E,5,0)</f>
        <v>Hilda</v>
      </c>
    </row>
    <row r="5" spans="2:13" ht="20.6" x14ac:dyDescent="0.55000000000000004">
      <c r="B5" s="11" t="s">
        <v>21</v>
      </c>
      <c r="C5" s="11"/>
      <c r="D5" s="11"/>
      <c r="E5" s="11"/>
      <c r="F5" s="11"/>
      <c r="G5" s="11"/>
      <c r="H5" s="11"/>
      <c r="I5" s="11"/>
      <c r="J5" s="11"/>
      <c r="K5" s="11"/>
      <c r="L5" s="11"/>
      <c r="M5" s="11"/>
    </row>
    <row r="6" spans="2:13" ht="20.6" x14ac:dyDescent="0.55000000000000004">
      <c r="B6" s="11" t="s">
        <v>22</v>
      </c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</row>
    <row r="11" spans="2:13" ht="14.6" customHeight="1" x14ac:dyDescent="0.4">
      <c r="H11" s="17"/>
      <c r="I11" s="17"/>
    </row>
    <row r="12" spans="2:13" ht="14.6" customHeight="1" x14ac:dyDescent="0.4">
      <c r="G12" s="17"/>
      <c r="H12" s="17"/>
      <c r="I12" s="17"/>
    </row>
    <row r="13" spans="2:13" ht="14.6" customHeight="1" x14ac:dyDescent="0.4">
      <c r="G13" s="17"/>
      <c r="H13" s="17"/>
      <c r="I13" s="17"/>
    </row>
    <row r="14" spans="2:13" ht="14.6" customHeight="1" x14ac:dyDescent="0.4">
      <c r="G14" s="17"/>
      <c r="H14" s="17"/>
      <c r="I14" s="17"/>
    </row>
    <row r="15" spans="2:13" ht="14.6" customHeight="1" x14ac:dyDescent="0.4">
      <c r="G15" s="17"/>
      <c r="H15" s="17"/>
      <c r="I15" s="17"/>
    </row>
    <row r="16" spans="2:13" ht="14.6" customHeight="1" x14ac:dyDescent="0.4">
      <c r="G16" s="17"/>
      <c r="H16" s="17"/>
      <c r="I16" s="17"/>
    </row>
    <row r="17" spans="5:11" ht="14.6" customHeight="1" x14ac:dyDescent="0.4">
      <c r="G17" s="17"/>
      <c r="H17" s="17"/>
      <c r="I17" s="17"/>
    </row>
    <row r="18" spans="5:11" ht="14.6" customHeight="1" x14ac:dyDescent="0.4">
      <c r="G18" s="17"/>
      <c r="H18" s="17"/>
      <c r="I18" s="17"/>
    </row>
    <row r="19" spans="5:11" ht="14.6" customHeight="1" x14ac:dyDescent="0.4">
      <c r="G19" s="17"/>
      <c r="H19" s="17"/>
      <c r="I19" s="17"/>
    </row>
    <row r="20" spans="5:11" ht="14.6" customHeight="1" x14ac:dyDescent="0.4">
      <c r="G20" s="17"/>
      <c r="H20" s="17"/>
      <c r="I20" s="17"/>
    </row>
    <row r="21" spans="5:11" ht="14.6" customHeight="1" x14ac:dyDescent="0.4">
      <c r="G21" s="17"/>
      <c r="H21" s="17"/>
      <c r="I21" s="17"/>
    </row>
    <row r="26" spans="5:11" ht="14.6" customHeight="1" x14ac:dyDescent="0.4">
      <c r="H26" s="17"/>
      <c r="I26" s="17"/>
    </row>
    <row r="27" spans="5:11" ht="18.45" customHeight="1" x14ac:dyDescent="0.4">
      <c r="E27" s="12" t="s">
        <v>23</v>
      </c>
      <c r="F27" s="12"/>
      <c r="G27" s="12"/>
      <c r="H27" s="12"/>
      <c r="I27" s="12"/>
      <c r="J27" s="12"/>
      <c r="K27" s="12"/>
    </row>
    <row r="28" spans="5:11" ht="14.6" customHeight="1" x14ac:dyDescent="0.4">
      <c r="E28" s="12"/>
      <c r="F28" s="12"/>
      <c r="G28" s="12"/>
      <c r="H28" s="12"/>
      <c r="I28" s="12"/>
      <c r="J28" s="12"/>
      <c r="K28" s="12"/>
    </row>
    <row r="29" spans="5:11" ht="14.6" customHeight="1" x14ac:dyDescent="0.4">
      <c r="E29" s="12"/>
      <c r="F29" s="12"/>
      <c r="G29" s="12"/>
      <c r="H29" s="12"/>
      <c r="I29" s="12"/>
      <c r="J29" s="12"/>
      <c r="K29" s="12"/>
    </row>
    <row r="30" spans="5:11" ht="14.6" customHeight="1" x14ac:dyDescent="0.4">
      <c r="G30" s="17"/>
      <c r="H30" s="17"/>
      <c r="I30" s="17"/>
    </row>
    <row r="31" spans="5:11" ht="14.6" customHeight="1" x14ac:dyDescent="0.4"/>
    <row r="32" spans="5:11" ht="14.6" customHeight="1" x14ac:dyDescent="0.4">
      <c r="F32" s="19" t="s">
        <v>20</v>
      </c>
    </row>
    <row r="35" spans="6:6" ht="15.9" x14ac:dyDescent="0.45">
      <c r="F35" s="2" t="s">
        <v>24</v>
      </c>
    </row>
  </sheetData>
  <mergeCells count="3">
    <mergeCell ref="E27:K29"/>
    <mergeCell ref="B5:M5"/>
    <mergeCell ref="B6:M6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txtValor">
          <controlPr defaultSize="0" autoLine="0" autoPict="0" r:id="rId5">
            <anchor moveWithCells="1">
              <from>
                <xdr:col>5</xdr:col>
                <xdr:colOff>783771</xdr:colOff>
                <xdr:row>30</xdr:row>
                <xdr:rowOff>108857</xdr:rowOff>
              </from>
              <to>
                <xdr:col>8</xdr:col>
                <xdr:colOff>462643</xdr:colOff>
                <xdr:row>32</xdr:row>
                <xdr:rowOff>119743</xdr:rowOff>
              </to>
            </anchor>
          </controlPr>
        </control>
      </mc:Choice>
      <mc:Fallback>
        <control shapeId="4097" r:id="rId4" name="txtValo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1670F-3CC8-4AA1-A5B3-710C1F59CEB1}">
  <sheetPr codeName="Planilha5"/>
  <dimension ref="E8:M28"/>
  <sheetViews>
    <sheetView showGridLines="0" workbookViewId="0">
      <selection activeCell="I10" sqref="I10:M12"/>
    </sheetView>
  </sheetViews>
  <sheetFormatPr defaultRowHeight="14.6" x14ac:dyDescent="0.4"/>
  <sheetData>
    <row r="8" spans="5:13" ht="20.6" x14ac:dyDescent="0.55000000000000004">
      <c r="G8" s="7" t="s">
        <v>25</v>
      </c>
    </row>
    <row r="10" spans="5:13" ht="14.6" customHeight="1" x14ac:dyDescent="0.4">
      <c r="I10" s="13">
        <v>0</v>
      </c>
      <c r="J10" s="13"/>
      <c r="K10" s="13"/>
      <c r="L10" s="13"/>
      <c r="M10" s="13"/>
    </row>
    <row r="11" spans="5:13" ht="14.6" customHeight="1" x14ac:dyDescent="0.4">
      <c r="I11" s="13"/>
      <c r="J11" s="13"/>
      <c r="K11" s="13"/>
      <c r="L11" s="13"/>
      <c r="M11" s="13"/>
    </row>
    <row r="12" spans="5:13" ht="14.6" customHeight="1" x14ac:dyDescent="0.4">
      <c r="I12" s="13"/>
      <c r="J12" s="13"/>
      <c r="K12" s="13"/>
      <c r="L12" s="13"/>
      <c r="M12" s="13"/>
    </row>
    <row r="14" spans="5:13" ht="15" thickBot="1" x14ac:dyDescent="0.45">
      <c r="E14" s="8"/>
      <c r="F14" s="8"/>
      <c r="G14" s="8"/>
      <c r="H14" s="8"/>
      <c r="I14" s="8"/>
      <c r="J14" s="8"/>
      <c r="K14" s="8"/>
      <c r="L14" s="8"/>
    </row>
    <row r="16" spans="5:13" ht="14.6" customHeight="1" x14ac:dyDescent="0.4">
      <c r="I16" s="13">
        <v>0</v>
      </c>
      <c r="J16" s="13"/>
      <c r="K16" s="13"/>
      <c r="L16" s="13"/>
      <c r="M16" s="13"/>
    </row>
    <row r="17" spans="5:13" ht="14.6" customHeight="1" x14ac:dyDescent="0.4">
      <c r="I17" s="13"/>
      <c r="J17" s="13"/>
      <c r="K17" s="13"/>
      <c r="L17" s="13"/>
      <c r="M17" s="13"/>
    </row>
    <row r="18" spans="5:13" ht="14.6" customHeight="1" x14ac:dyDescent="0.4">
      <c r="I18" s="13"/>
      <c r="J18" s="13"/>
      <c r="K18" s="13"/>
      <c r="L18" s="13"/>
      <c r="M18" s="13"/>
    </row>
    <row r="19" spans="5:13" ht="15" thickBot="1" x14ac:dyDescent="0.45">
      <c r="E19" s="8"/>
      <c r="F19" s="8"/>
      <c r="G19" s="8"/>
      <c r="H19" s="8"/>
      <c r="I19" s="8"/>
      <c r="J19" s="8"/>
      <c r="K19" s="8"/>
      <c r="L19" s="8"/>
    </row>
    <row r="21" spans="5:13" ht="14.6" customHeight="1" x14ac:dyDescent="0.4">
      <c r="I21" s="13">
        <v>0</v>
      </c>
      <c r="J21" s="13"/>
      <c r="K21" s="13"/>
      <c r="L21" s="13"/>
      <c r="M21" s="13"/>
    </row>
    <row r="22" spans="5:13" ht="14.6" customHeight="1" x14ac:dyDescent="0.4">
      <c r="I22" s="13"/>
      <c r="J22" s="13"/>
      <c r="K22" s="13"/>
      <c r="L22" s="13"/>
      <c r="M22" s="13"/>
    </row>
    <row r="23" spans="5:13" ht="14.6" customHeight="1" x14ac:dyDescent="0.4">
      <c r="I23" s="13"/>
      <c r="J23" s="13"/>
      <c r="K23" s="13"/>
      <c r="L23" s="13"/>
      <c r="M23" s="13"/>
    </row>
    <row r="24" spans="5:13" ht="15" thickBot="1" x14ac:dyDescent="0.45">
      <c r="E24" s="8"/>
      <c r="F24" s="8"/>
      <c r="G24" s="8"/>
      <c r="H24" s="8"/>
      <c r="I24" s="8"/>
      <c r="J24" s="8"/>
      <c r="K24" s="8"/>
      <c r="L24" s="8"/>
    </row>
    <row r="26" spans="5:13" ht="14.6" customHeight="1" x14ac:dyDescent="0.4">
      <c r="I26" s="13">
        <v>2</v>
      </c>
      <c r="J26" s="13"/>
      <c r="K26" s="13"/>
      <c r="L26" s="13"/>
      <c r="M26" s="13"/>
    </row>
    <row r="27" spans="5:13" ht="14.6" customHeight="1" x14ac:dyDescent="0.4">
      <c r="I27" s="13"/>
      <c r="J27" s="13"/>
      <c r="K27" s="13"/>
      <c r="L27" s="13"/>
      <c r="M27" s="13"/>
    </row>
    <row r="28" spans="5:13" ht="14.6" customHeight="1" x14ac:dyDescent="0.4">
      <c r="I28" s="13"/>
      <c r="J28" s="13"/>
      <c r="K28" s="13"/>
      <c r="L28" s="13"/>
      <c r="M28" s="13"/>
    </row>
  </sheetData>
  <mergeCells count="4">
    <mergeCell ref="I10:M12"/>
    <mergeCell ref="I16:M18"/>
    <mergeCell ref="I21:M23"/>
    <mergeCell ref="I26:M2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CFC9-967E-4E17-9D8C-5331879C0C66}">
  <sheetPr codeName="Planilha6"/>
  <dimension ref="A1:G6"/>
  <sheetViews>
    <sheetView workbookViewId="0">
      <selection activeCell="D9" sqref="D9"/>
    </sheetView>
  </sheetViews>
  <sheetFormatPr defaultRowHeight="18.45" x14ac:dyDescent="0.5"/>
  <cols>
    <col min="1" max="1" width="3.921875" style="14" bestFit="1" customWidth="1"/>
    <col min="2" max="2" width="8.921875" style="14" bestFit="1" customWidth="1"/>
    <col min="3" max="3" width="9.07421875" style="14" bestFit="1" customWidth="1"/>
    <col min="4" max="4" width="14.4609375" style="14" bestFit="1" customWidth="1"/>
    <col min="5" max="5" width="7.765625" style="14" bestFit="1" customWidth="1"/>
    <col min="6" max="6" width="13.07421875" style="14" bestFit="1" customWidth="1"/>
    <col min="7" max="7" width="14.15234375" style="14" bestFit="1" customWidth="1"/>
  </cols>
  <sheetData>
    <row r="1" spans="1:7" ht="23.6" x14ac:dyDescent="0.65">
      <c r="A1" s="9" t="s">
        <v>26</v>
      </c>
      <c r="B1" s="9" t="s">
        <v>3</v>
      </c>
      <c r="C1" s="9" t="s">
        <v>7</v>
      </c>
      <c r="D1" s="9" t="s">
        <v>27</v>
      </c>
      <c r="E1" s="9" t="s">
        <v>28</v>
      </c>
      <c r="F1" s="9" t="s">
        <v>29</v>
      </c>
      <c r="G1" s="9" t="s">
        <v>30</v>
      </c>
    </row>
    <row r="2" spans="1:7" x14ac:dyDescent="0.5">
      <c r="A2" s="14">
        <v>2</v>
      </c>
      <c r="B2" s="14">
        <v>32456</v>
      </c>
      <c r="C2" s="14" t="s">
        <v>13</v>
      </c>
      <c r="D2" s="14" t="s">
        <v>34</v>
      </c>
      <c r="E2" s="14">
        <v>200</v>
      </c>
      <c r="F2" s="15">
        <v>45737</v>
      </c>
      <c r="G2" s="16"/>
    </row>
    <row r="3" spans="1:7" x14ac:dyDescent="0.5">
      <c r="A3" s="14">
        <v>3</v>
      </c>
      <c r="B3" s="14">
        <v>98545</v>
      </c>
      <c r="C3" s="14" t="s">
        <v>10</v>
      </c>
      <c r="D3" s="14" t="s">
        <v>33</v>
      </c>
      <c r="E3" s="14">
        <v>439</v>
      </c>
      <c r="F3" s="15">
        <v>45738</v>
      </c>
    </row>
    <row r="4" spans="1:7" x14ac:dyDescent="0.5">
      <c r="A4" s="14">
        <v>4</v>
      </c>
      <c r="B4" s="14">
        <v>98545</v>
      </c>
      <c r="C4" s="14" t="s">
        <v>10</v>
      </c>
      <c r="D4" s="14" t="s">
        <v>33</v>
      </c>
      <c r="E4" s="14">
        <v>300</v>
      </c>
      <c r="F4" s="15">
        <v>45738</v>
      </c>
    </row>
    <row r="5" spans="1:7" x14ac:dyDescent="0.5">
      <c r="A5" s="14">
        <v>5</v>
      </c>
      <c r="B5" s="14">
        <v>98545</v>
      </c>
      <c r="C5" s="14" t="s">
        <v>10</v>
      </c>
      <c r="D5" s="14" t="s">
        <v>35</v>
      </c>
      <c r="E5" s="14">
        <v>300</v>
      </c>
      <c r="F5" s="15">
        <v>45738</v>
      </c>
    </row>
    <row r="6" spans="1:7" x14ac:dyDescent="0.5">
      <c r="A6" s="14">
        <v>6</v>
      </c>
      <c r="B6" s="14">
        <v>98545</v>
      </c>
      <c r="C6" s="14" t="s">
        <v>10</v>
      </c>
      <c r="D6" s="14" t="s">
        <v>33</v>
      </c>
      <c r="E6" s="14">
        <v>100</v>
      </c>
      <c r="F6" s="15">
        <v>45738</v>
      </c>
      <c r="G6" s="14" t="s">
        <v>34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Acesso</vt:lpstr>
      <vt:lpstr>Contas</vt:lpstr>
      <vt:lpstr>Tela Principal</vt:lpstr>
      <vt:lpstr>Saque</vt:lpstr>
      <vt:lpstr>Dinheiro do Saque</vt:lpstr>
      <vt:lpstr>Transações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2025-03-19T21:39:44Z</dcterms:created>
  <dcterms:modified xsi:type="dcterms:W3CDTF">2025-03-22T03:35:05Z</dcterms:modified>
</cp:coreProperties>
</file>