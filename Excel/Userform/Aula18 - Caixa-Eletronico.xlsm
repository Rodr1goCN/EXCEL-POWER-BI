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0A9BA70A-C9EA-406B-BE2D-FDB5158AD663}" xr6:coauthVersionLast="47" xr6:coauthVersionMax="47" xr10:uidLastSave="{00000000-0000-0000-0000-000000000000}"/>
  <bookViews>
    <workbookView xWindow="-86" yWindow="0" windowWidth="16629" windowHeight="17880" tabRatio="776" firstSheet="2" activeTab="6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eposito" sheetId="7" r:id="rId5"/>
    <sheet name="Pagamentos" sheetId="9" r:id="rId6"/>
    <sheet name="Saldo e Extratos" sheetId="10" r:id="rId7"/>
    <sheet name="Extrato" sheetId="11" r:id="rId8"/>
    <sheet name="Dinheiro do Saque" sheetId="5" r:id="rId9"/>
    <sheet name="Transações" sheetId="6" r:id="rId10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1" l="1"/>
  <c r="B4" i="11" s="1"/>
  <c r="I2" i="10"/>
  <c r="F2" i="10"/>
  <c r="C2" i="10"/>
  <c r="I2" i="9"/>
  <c r="C2" i="9"/>
  <c r="I2" i="4"/>
  <c r="C2" i="4"/>
  <c r="K2" i="2"/>
  <c r="D2" i="1"/>
  <c r="C2" i="7"/>
  <c r="I2" i="7" s="1"/>
  <c r="D2" i="2" l="1"/>
  <c r="D3" i="2"/>
  <c r="D4" i="2"/>
  <c r="D5" i="2"/>
  <c r="D6" i="2"/>
  <c r="F2" i="4" l="1"/>
  <c r="F2" i="9"/>
  <c r="F2" i="7"/>
</calcChain>
</file>

<file path=xl/sharedStrings.xml><?xml version="1.0" encoding="utf-8"?>
<sst xmlns="http://schemas.openxmlformats.org/spreadsheetml/2006/main" count="110" uniqueCount="47">
  <si>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</si>
  <si>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</si>
  <si>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</si>
  <si>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</si>
  <si>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</si>
  <si>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</si>
  <si>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</si>
  <si>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</si>
  <si>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</si>
  <si>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</si>
  <si>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</si>
  <si>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</si>
  <si>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</si>
  <si>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</si>
  <si>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</si>
  <si>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</si>
  <si>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</si>
  <si>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</si>
  <si>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</si>
  <si>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</si>
  <si>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</si>
  <si>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</si>
  <si>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</si>
  <si>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</si>
  <si>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</si>
  <si>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</si>
  <si>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</si>
  <si>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</si>
  <si>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</si>
  <si>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</si>
  <si>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Cliente:</t>
  </si>
  <si>
    <t>D</t>
  </si>
  <si>
    <t>Saque</t>
  </si>
  <si>
    <t>C</t>
  </si>
  <si>
    <t>Deposito</t>
  </si>
  <si>
    <t>DIGITE COM ATENÇÃO OS DADOS PARA O PAGAMENTO</t>
  </si>
  <si>
    <t>Códito de Barras:</t>
  </si>
  <si>
    <t>Valor:</t>
  </si>
  <si>
    <t>Beneficiário:</t>
  </si>
  <si>
    <t>559900 - Favorecido: Rodrigo</t>
  </si>
  <si>
    <t xml:space="preserve">Saldo: R$ </t>
  </si>
  <si>
    <t xml:space="preserve">VALOR: R$ </t>
  </si>
  <si>
    <t>SERVIÇO SUJEITOS A COBRANÇA DE TARIFAS</t>
  </si>
  <si>
    <t>VALOR: R$</t>
  </si>
  <si>
    <t>Data Início</t>
  </si>
  <si>
    <t>Data Fim</t>
  </si>
  <si>
    <t>5558981 - Favorecido: Joana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</si>
</sst>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0" fontId="6" fillId="0" borderId="0" xfId="0" applyFont="1" applyAlignment="1"/>
    <xf numFmtId="2" fontId="6" fillId="0" borderId="0" xfId="1" applyNumberFormat="1" applyFont="1" applyAlignment="1">
      <alignment horizontal="left"/>
    </xf>
    <xf numFmtId="44" fontId="5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jpeg"/><Relationship Id="rId1" Type="http://schemas.openxmlformats.org/officeDocument/2006/relationships/image" Target="../media/image7.jpeg"/><Relationship Id="rId4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326571</xdr:colOff>
      <xdr:row>8</xdr:row>
      <xdr:rowOff>5443</xdr:rowOff>
    </xdr:from>
    <xdr:to>
      <xdr:col>7</xdr:col>
      <xdr:colOff>299357</xdr:colOff>
      <xdr:row>11</xdr:row>
      <xdr:rowOff>38099</xdr:rowOff>
    </xdr:to>
    <xdr:sp macro="[0]!telaDepos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1</xdr:col>
      <xdr:colOff>462643</xdr:colOff>
      <xdr:row>8</xdr:row>
      <xdr:rowOff>141515</xdr:rowOff>
    </xdr:from>
    <xdr:to>
      <xdr:col>2</xdr:col>
      <xdr:colOff>119744</xdr:colOff>
      <xdr:row>10</xdr:row>
      <xdr:rowOff>114300</xdr:rowOff>
    </xdr:to>
    <xdr:sp macro="[0]!telaDeposito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14</xdr:col>
      <xdr:colOff>625928</xdr:colOff>
      <xdr:row>11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14</xdr:col>
      <xdr:colOff>163286</xdr:colOff>
      <xdr:row>8</xdr:row>
      <xdr:rowOff>125187</xdr:rowOff>
    </xdr:from>
    <xdr:to>
      <xdr:col>14</xdr:col>
      <xdr:colOff>473529</xdr:colOff>
      <xdr:row>10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315685</xdr:colOff>
      <xdr:row>13</xdr:row>
      <xdr:rowOff>21771</xdr:rowOff>
    </xdr:from>
    <xdr:to>
      <xdr:col>7</xdr:col>
      <xdr:colOff>288471</xdr:colOff>
      <xdr:row>16</xdr:row>
      <xdr:rowOff>54428</xdr:rowOff>
    </xdr:to>
    <xdr:sp macro="[0]!telaPagamento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1</xdr:col>
      <xdr:colOff>451757</xdr:colOff>
      <xdr:row>13</xdr:row>
      <xdr:rowOff>157843</xdr:rowOff>
    </xdr:from>
    <xdr:to>
      <xdr:col>2</xdr:col>
      <xdr:colOff>108858</xdr:colOff>
      <xdr:row>15</xdr:row>
      <xdr:rowOff>130629</xdr:rowOff>
    </xdr:to>
    <xdr:sp macro="[0]!telaPagamentos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12</xdr:row>
      <xdr:rowOff>157843</xdr:rowOff>
    </xdr:from>
    <xdr:to>
      <xdr:col>14</xdr:col>
      <xdr:colOff>631371</xdr:colOff>
      <xdr:row>16</xdr:row>
      <xdr:rowOff>5443</xdr:rowOff>
    </xdr:to>
    <xdr:sp macro="[0]!telaSaldoExtratos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14</xdr:col>
      <xdr:colOff>174171</xdr:colOff>
      <xdr:row>13</xdr:row>
      <xdr:rowOff>92529</xdr:rowOff>
    </xdr:from>
    <xdr:to>
      <xdr:col>14</xdr:col>
      <xdr:colOff>484414</xdr:colOff>
      <xdr:row>15</xdr:row>
      <xdr:rowOff>65315</xdr:rowOff>
    </xdr:to>
    <xdr:sp macro="[0]!telaSaldoExtratos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642258</xdr:colOff>
      <xdr:row>9</xdr:row>
      <xdr:rowOff>10886</xdr:rowOff>
    </xdr:from>
    <xdr:to>
      <xdr:col>5</xdr:col>
      <xdr:colOff>636816</xdr:colOff>
      <xdr:row>12</xdr:row>
      <xdr:rowOff>43542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295401" y="1905000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125187</xdr:colOff>
      <xdr:row>9</xdr:row>
      <xdr:rowOff>146958</xdr:rowOff>
    </xdr:from>
    <xdr:to>
      <xdr:col>2</xdr:col>
      <xdr:colOff>435430</xdr:colOff>
      <xdr:row>11</xdr:row>
      <xdr:rowOff>119743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31473" y="20410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642258</xdr:colOff>
      <xdr:row>13</xdr:row>
      <xdr:rowOff>5443</xdr:rowOff>
    </xdr:from>
    <xdr:to>
      <xdr:col>5</xdr:col>
      <xdr:colOff>636816</xdr:colOff>
      <xdr:row>16</xdr:row>
      <xdr:rowOff>38100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295401" y="2639786"/>
          <a:ext cx="2775858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125187</xdr:colOff>
      <xdr:row>13</xdr:row>
      <xdr:rowOff>141515</xdr:rowOff>
    </xdr:from>
    <xdr:to>
      <xdr:col>2</xdr:col>
      <xdr:colOff>435430</xdr:colOff>
      <xdr:row>15</xdr:row>
      <xdr:rowOff>114301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31473" y="2775858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5445</xdr:colOff>
      <xdr:row>17</xdr:row>
      <xdr:rowOff>5444</xdr:rowOff>
    </xdr:from>
    <xdr:to>
      <xdr:col>5</xdr:col>
      <xdr:colOff>625931</xdr:colOff>
      <xdr:row>20</xdr:row>
      <xdr:rowOff>38100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11731" y="3380015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141516</xdr:colOff>
      <xdr:row>17</xdr:row>
      <xdr:rowOff>141516</xdr:rowOff>
    </xdr:from>
    <xdr:to>
      <xdr:col>2</xdr:col>
      <xdr:colOff>448520</xdr:colOff>
      <xdr:row>19</xdr:row>
      <xdr:rowOff>114301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47802" y="3516087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647702</xdr:colOff>
      <xdr:row>21</xdr:row>
      <xdr:rowOff>10886</xdr:rowOff>
    </xdr:from>
    <xdr:to>
      <xdr:col>5</xdr:col>
      <xdr:colOff>615045</xdr:colOff>
      <xdr:row>24</xdr:row>
      <xdr:rowOff>43543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00845" y="4125686"/>
          <a:ext cx="2748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130630</xdr:colOff>
      <xdr:row>21</xdr:row>
      <xdr:rowOff>146958</xdr:rowOff>
    </xdr:from>
    <xdr:to>
      <xdr:col>2</xdr:col>
      <xdr:colOff>437634</xdr:colOff>
      <xdr:row>23</xdr:row>
      <xdr:rowOff>119744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36916" y="4261758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10882</xdr:colOff>
      <xdr:row>8</xdr:row>
      <xdr:rowOff>168729</xdr:rowOff>
    </xdr:from>
    <xdr:to>
      <xdr:col>13</xdr:col>
      <xdr:colOff>5440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916382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206826</xdr:colOff>
      <xdr:row>9</xdr:row>
      <xdr:rowOff>108858</xdr:rowOff>
    </xdr:from>
    <xdr:to>
      <xdr:col>12</xdr:col>
      <xdr:colOff>517069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93526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5439</xdr:colOff>
      <xdr:row>12</xdr:row>
      <xdr:rowOff>168729</xdr:rowOff>
    </xdr:from>
    <xdr:to>
      <xdr:col>12</xdr:col>
      <xdr:colOff>653140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910939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201383</xdr:colOff>
      <xdr:row>13</xdr:row>
      <xdr:rowOff>108858</xdr:rowOff>
    </xdr:from>
    <xdr:to>
      <xdr:col>12</xdr:col>
      <xdr:colOff>511626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88083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16</xdr:row>
      <xdr:rowOff>179616</xdr:rowOff>
    </xdr:from>
    <xdr:to>
      <xdr:col>13</xdr:col>
      <xdr:colOff>5439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916381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206825</xdr:colOff>
      <xdr:row>17</xdr:row>
      <xdr:rowOff>119745</xdr:rowOff>
    </xdr:from>
    <xdr:to>
      <xdr:col>12</xdr:col>
      <xdr:colOff>517068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93525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10881</xdr:colOff>
      <xdr:row>20</xdr:row>
      <xdr:rowOff>179616</xdr:rowOff>
    </xdr:from>
    <xdr:to>
      <xdr:col>13</xdr:col>
      <xdr:colOff>5439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916381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206825</xdr:colOff>
      <xdr:row>21</xdr:row>
      <xdr:rowOff>119745</xdr:rowOff>
    </xdr:from>
    <xdr:to>
      <xdr:col>12</xdr:col>
      <xdr:colOff>517068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93525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359226</xdr:colOff>
          <xdr:row>30</xdr:row>
          <xdr:rowOff>136071</xdr:rowOff>
        </xdr:from>
        <xdr:to>
          <xdr:col>10</xdr:col>
          <xdr:colOff>321127</xdr:colOff>
          <xdr:row>32</xdr:row>
          <xdr:rowOff>146957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244929</xdr:colOff>
      <xdr:row>3</xdr:row>
      <xdr:rowOff>174173</xdr:rowOff>
    </xdr:from>
    <xdr:to>
      <xdr:col>3</xdr:col>
      <xdr:colOff>315686</xdr:colOff>
      <xdr:row>5</xdr:row>
      <xdr:rowOff>255815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9" y="805544"/>
          <a:ext cx="2030186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390079</xdr:colOff>
      <xdr:row>4</xdr:row>
      <xdr:rowOff>87084</xdr:rowOff>
    </xdr:from>
    <xdr:to>
      <xdr:col>0</xdr:col>
      <xdr:colOff>646305</xdr:colOff>
      <xdr:row>5</xdr:row>
      <xdr:rowOff>133802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90079" y="903513"/>
          <a:ext cx="256226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2164631-40E4-4211-8980-B62CAF60F8B2}"/>
            </a:ext>
          </a:extLst>
        </xdr:cNvPr>
        <xdr:cNvSpPr/>
      </xdr:nvSpPr>
      <xdr:spPr>
        <a:xfrm>
          <a:off x="1306286" y="18614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81D6145-9389-4855-9042-9D51E8B0E781}"/>
            </a:ext>
          </a:extLst>
        </xdr:cNvPr>
        <xdr:cNvSpPr/>
      </xdr:nvSpPr>
      <xdr:spPr>
        <a:xfrm rot="10800000">
          <a:off x="1442358" y="19975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6400487-71B0-4163-A232-1E63D25D29FF}"/>
            </a:ext>
          </a:extLst>
        </xdr:cNvPr>
        <xdr:cNvSpPr/>
      </xdr:nvSpPr>
      <xdr:spPr>
        <a:xfrm>
          <a:off x="1306286" y="26343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8D5D7CC1-E8DD-4DBC-A8C2-6E5ACA9C8C9D}"/>
            </a:ext>
          </a:extLst>
        </xdr:cNvPr>
        <xdr:cNvSpPr/>
      </xdr:nvSpPr>
      <xdr:spPr>
        <a:xfrm rot="10800000">
          <a:off x="1442358" y="27704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EC27C6A-19FC-4CBB-BE24-BBEAC84A0F66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A0A0D30E-1501-47F7-934F-FA472BD7710F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23A0BD3-4D45-49AC-9999-9BA33455731A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4624A9D4-E855-4FB8-8D69-5DFE8C2BB64D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7E14857E-FC38-4D8E-AFD8-B031EF315DEA}"/>
            </a:ext>
          </a:extLst>
        </xdr:cNvPr>
        <xdr:cNvSpPr/>
      </xdr:nvSpPr>
      <xdr:spPr>
        <a:xfrm>
          <a:off x="6014357" y="1877786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01E8CF03-C547-4CFF-A759-E2F8577720C1}"/>
            </a:ext>
          </a:extLst>
        </xdr:cNvPr>
        <xdr:cNvSpPr/>
      </xdr:nvSpPr>
      <xdr:spPr>
        <a:xfrm>
          <a:off x="8191501" y="20029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5F377D50-74C8-41C5-A91B-C6D1FA92E3E1}"/>
            </a:ext>
          </a:extLst>
        </xdr:cNvPr>
        <xdr:cNvSpPr/>
      </xdr:nvSpPr>
      <xdr:spPr>
        <a:xfrm>
          <a:off x="6008914" y="2618015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DC5CAFEE-8B06-42DF-A570-946186510958}"/>
            </a:ext>
          </a:extLst>
        </xdr:cNvPr>
        <xdr:cNvSpPr/>
      </xdr:nvSpPr>
      <xdr:spPr>
        <a:xfrm>
          <a:off x="8186058" y="27432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9BE93B7F-F485-4B2A-BB55-871924C4EFFE}"/>
            </a:ext>
          </a:extLst>
        </xdr:cNvPr>
        <xdr:cNvSpPr/>
      </xdr:nvSpPr>
      <xdr:spPr>
        <a:xfrm>
          <a:off x="6014356" y="3369130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4C970DDF-623B-49C4-97F8-153CD1F0F7B4}"/>
            </a:ext>
          </a:extLst>
        </xdr:cNvPr>
        <xdr:cNvSpPr/>
      </xdr:nvSpPr>
      <xdr:spPr>
        <a:xfrm>
          <a:off x="8191500" y="34943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3C8F0EF7-EAB3-4DB6-A8EA-D4FACA7998C0}"/>
            </a:ext>
          </a:extLst>
        </xdr:cNvPr>
        <xdr:cNvSpPr/>
      </xdr:nvSpPr>
      <xdr:spPr>
        <a:xfrm>
          <a:off x="6014356" y="4109359"/>
          <a:ext cx="2628901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48A9E803-3555-4B5D-9019-EBF79832C9C2}"/>
            </a:ext>
          </a:extLst>
        </xdr:cNvPr>
        <xdr:cNvSpPr/>
      </xdr:nvSpPr>
      <xdr:spPr>
        <a:xfrm>
          <a:off x="8191500" y="42345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2CF7FEBF-4542-41F2-8025-BEEED583FAE2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370112</xdr:colOff>
      <xdr:row>4</xdr:row>
      <xdr:rowOff>81643</xdr:rowOff>
    </xdr:from>
    <xdr:to>
      <xdr:col>0</xdr:col>
      <xdr:colOff>605871</xdr:colOff>
      <xdr:row>5</xdr:row>
      <xdr:rowOff>128361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9277AAEC-157D-4214-97D9-B967EEABBF9C}"/>
            </a:ext>
          </a:extLst>
        </xdr:cNvPr>
        <xdr:cNvSpPr/>
      </xdr:nvSpPr>
      <xdr:spPr>
        <a:xfrm rot="10800000">
          <a:off x="370112" y="89807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deposit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F7866A27-23EC-4DE8-BB19-104012E06E10}"/>
            </a:ext>
          </a:extLst>
        </xdr:cNvPr>
        <xdr:cNvSpPr/>
      </xdr:nvSpPr>
      <xdr:spPr>
        <a:xfrm>
          <a:off x="7603671" y="8109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DEPOSITAR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359229</xdr:colOff>
          <xdr:row>30</xdr:row>
          <xdr:rowOff>136071</xdr:rowOff>
        </xdr:from>
        <xdr:to>
          <xdr:col>10</xdr:col>
          <xdr:colOff>337457</xdr:colOff>
          <xdr:row>32</xdr:row>
          <xdr:rowOff>146957</xdr:rowOff>
        </xdr:to>
        <xdr:sp macro="" textlink="">
          <xdr:nvSpPr>
            <xdr:cNvPr id="6145" name="txtValorDe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8FD768E-70D0-E058-746E-97EC1E908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CA2D935-F907-4DBA-9A6C-D4C1D3750225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386440</xdr:colOff>
      <xdr:row>4</xdr:row>
      <xdr:rowOff>97971</xdr:rowOff>
    </xdr:from>
    <xdr:to>
      <xdr:col>0</xdr:col>
      <xdr:colOff>622199</xdr:colOff>
      <xdr:row>5</xdr:row>
      <xdr:rowOff>144689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C43D6BEE-0611-4B12-AA31-B4AAD974A520}"/>
            </a:ext>
          </a:extLst>
        </xdr:cNvPr>
        <xdr:cNvSpPr/>
      </xdr:nvSpPr>
      <xdr:spPr>
        <a:xfrm rot="10800000">
          <a:off x="386440" y="914400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647699</xdr:colOff>
      <xdr:row>22</xdr:row>
      <xdr:rowOff>136072</xdr:rowOff>
    </xdr:from>
    <xdr:to>
      <xdr:col>10</xdr:col>
      <xdr:colOff>5442</xdr:colOff>
      <xdr:row>25</xdr:row>
      <xdr:rowOff>108857</xdr:rowOff>
    </xdr:to>
    <xdr:sp macro="[0]!pagarCo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F283312-03D3-4714-876D-78C560ABF796}"/>
            </a:ext>
          </a:extLst>
        </xdr:cNvPr>
        <xdr:cNvSpPr/>
      </xdr:nvSpPr>
      <xdr:spPr>
        <a:xfrm>
          <a:off x="1953985" y="4855029"/>
          <a:ext cx="5823857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PAGAR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13</xdr:row>
          <xdr:rowOff>174172</xdr:rowOff>
        </xdr:from>
        <xdr:to>
          <xdr:col>10</xdr:col>
          <xdr:colOff>65314</xdr:colOff>
          <xdr:row>15</xdr:row>
          <xdr:rowOff>32658</xdr:rowOff>
        </xdr:to>
        <xdr:sp macro="" textlink="">
          <xdr:nvSpPr>
            <xdr:cNvPr id="9221" name="txtCodigoBarras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59871</xdr:colOff>
          <xdr:row>16</xdr:row>
          <xdr:rowOff>174171</xdr:rowOff>
        </xdr:from>
        <xdr:to>
          <xdr:col>10</xdr:col>
          <xdr:colOff>65314</xdr:colOff>
          <xdr:row>18</xdr:row>
          <xdr:rowOff>32656</xdr:rowOff>
        </xdr:to>
        <xdr:sp macro="" textlink="">
          <xdr:nvSpPr>
            <xdr:cNvPr id="9224" name="txtValor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F27A3240-26CC-ACA9-49BD-1D93D9587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59870</xdr:colOff>
          <xdr:row>19</xdr:row>
          <xdr:rowOff>179614</xdr:rowOff>
        </xdr:from>
        <xdr:to>
          <xdr:col>10</xdr:col>
          <xdr:colOff>65313</xdr:colOff>
          <xdr:row>21</xdr:row>
          <xdr:rowOff>38100</xdr:rowOff>
        </xdr:to>
        <xdr:sp macro="" textlink="">
          <xdr:nvSpPr>
            <xdr:cNvPr id="9225" name="txtBeneficiari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F46ABF08-3979-6C90-5D8F-EDA1C0BF9E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4410C91-697F-4716-B4C6-009CB6DEDAEA}"/>
            </a:ext>
          </a:extLst>
        </xdr:cNvPr>
        <xdr:cNvSpPr/>
      </xdr:nvSpPr>
      <xdr:spPr>
        <a:xfrm>
          <a:off x="244928" y="8055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3" name="Seta: Divisa 2">
          <a:extLst>
            <a:ext uri="{FF2B5EF4-FFF2-40B4-BE49-F238E27FC236}">
              <a16:creationId xmlns:a16="http://schemas.microsoft.com/office/drawing/2014/main" id="{E847B1E3-2CA4-4861-B8C6-CB2DD99A742B}"/>
            </a:ext>
          </a:extLst>
        </xdr:cNvPr>
        <xdr:cNvSpPr/>
      </xdr:nvSpPr>
      <xdr:spPr>
        <a:xfrm rot="10800000">
          <a:off x="380998" y="9416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195943</xdr:colOff>
      <xdr:row>11</xdr:row>
      <xdr:rowOff>38099</xdr:rowOff>
    </xdr:from>
    <xdr:to>
      <xdr:col>5</xdr:col>
      <xdr:colOff>223157</xdr:colOff>
      <xdr:row>15</xdr:row>
      <xdr:rowOff>108856</xdr:rowOff>
    </xdr:to>
    <xdr:sp macro="[0]!extratoUltimo30Dia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621D445-427D-491D-B850-7B396EAE0AD4}"/>
            </a:ext>
          </a:extLst>
        </xdr:cNvPr>
        <xdr:cNvSpPr/>
      </xdr:nvSpPr>
      <xdr:spPr>
        <a:xfrm>
          <a:off x="195943" y="2378528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MÊS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ÚLTIMOS 30 DIAS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364671</xdr:colOff>
      <xdr:row>12</xdr:row>
      <xdr:rowOff>21771</xdr:rowOff>
    </xdr:from>
    <xdr:to>
      <xdr:col>1</xdr:col>
      <xdr:colOff>73179</xdr:colOff>
      <xdr:row>14</xdr:row>
      <xdr:rowOff>124732</xdr:rowOff>
    </xdr:to>
    <xdr:sp macro="[0]!extratoUltimo30Dias" textlink="">
      <xdr:nvSpPr>
        <xdr:cNvPr id="5" name="Seta: Divisa 4">
          <a:extLst>
            <a:ext uri="{FF2B5EF4-FFF2-40B4-BE49-F238E27FC236}">
              <a16:creationId xmlns:a16="http://schemas.microsoft.com/office/drawing/2014/main" id="{011F59D2-B309-4CF0-94A7-2DE820F53388}"/>
            </a:ext>
          </a:extLst>
        </xdr:cNvPr>
        <xdr:cNvSpPr/>
      </xdr:nvSpPr>
      <xdr:spPr>
        <a:xfrm rot="10800000">
          <a:off x="364671" y="2547257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27215</xdr:rowOff>
    </xdr:from>
    <xdr:to>
      <xdr:col>14</xdr:col>
      <xdr:colOff>27214</xdr:colOff>
      <xdr:row>15</xdr:row>
      <xdr:rowOff>97972</xdr:rowOff>
    </xdr:to>
    <xdr:sp macro="[0]!digiteVinte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B398092-CD3B-43FC-9C7C-56D5DD1E7BE9}"/>
            </a:ext>
          </a:extLst>
        </xdr:cNvPr>
        <xdr:cNvSpPr/>
      </xdr:nvSpPr>
      <xdr:spPr>
        <a:xfrm>
          <a:off x="5878286" y="2367644"/>
          <a:ext cx="3292928" cy="81098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EXTRATO</a:t>
          </a:r>
          <a:r>
            <a:rPr lang="pt-BR" sz="2000" baseline="0">
              <a:solidFill>
                <a:sysClr val="windowText" lastClr="000000"/>
              </a:solidFill>
            </a:rPr>
            <a:t> MOVIMENTO</a:t>
          </a:r>
        </a:p>
        <a:p>
          <a:pPr algn="ctr"/>
          <a:r>
            <a:rPr lang="pt-BR" sz="2000" baseline="0">
              <a:solidFill>
                <a:sysClr val="windowText" lastClr="000000"/>
              </a:solidFill>
            </a:rPr>
            <a:t>MESES ANTERIORES</a:t>
          </a:r>
          <a:endParaRPr lang="pt-BR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206830</xdr:colOff>
      <xdr:row>12</xdr:row>
      <xdr:rowOff>16330</xdr:rowOff>
    </xdr:from>
    <xdr:to>
      <xdr:col>13</xdr:col>
      <xdr:colOff>568481</xdr:colOff>
      <xdr:row>14</xdr:row>
      <xdr:rowOff>119291</xdr:rowOff>
    </xdr:to>
    <xdr:sp macro="[0]!digiteVinte" textlink="">
      <xdr:nvSpPr>
        <xdr:cNvPr id="7" name="Seta: Divisa 6">
          <a:extLst>
            <a:ext uri="{FF2B5EF4-FFF2-40B4-BE49-F238E27FC236}">
              <a16:creationId xmlns:a16="http://schemas.microsoft.com/office/drawing/2014/main" id="{B5479A28-EBBD-4410-8513-8195E4867EF4}"/>
            </a:ext>
          </a:extLst>
        </xdr:cNvPr>
        <xdr:cNvSpPr/>
      </xdr:nvSpPr>
      <xdr:spPr>
        <a:xfrm>
          <a:off x="8697687" y="2541816"/>
          <a:ext cx="361651" cy="4730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326573</xdr:colOff>
      <xdr:row>3</xdr:row>
      <xdr:rowOff>228600</xdr:rowOff>
    </xdr:to>
    <xdr:sp macro="[0]!voltarTelaSaldoExtra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0B305-1277-44E9-B9E6-A5F59C22CFF5}"/>
            </a:ext>
          </a:extLst>
        </xdr:cNvPr>
        <xdr:cNvSpPr/>
      </xdr:nvSpPr>
      <xdr:spPr>
        <a:xfrm>
          <a:off x="5121729" y="4680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6</xdr:col>
      <xdr:colOff>141512</xdr:colOff>
      <xdr:row>2</xdr:row>
      <xdr:rowOff>108857</xdr:rowOff>
    </xdr:from>
    <xdr:to>
      <xdr:col>6</xdr:col>
      <xdr:colOff>377271</xdr:colOff>
      <xdr:row>3</xdr:row>
      <xdr:rowOff>117475</xdr:rowOff>
    </xdr:to>
    <xdr:sp macro="[0]!telaSaldoExtratos" textlink="">
      <xdr:nvSpPr>
        <xdr:cNvPr id="3" name="Seta: Divisa 2">
          <a:extLst>
            <a:ext uri="{FF2B5EF4-FFF2-40B4-BE49-F238E27FC236}">
              <a16:creationId xmlns:a16="http://schemas.microsoft.com/office/drawing/2014/main" id="{F002FD53-C202-4A46-85EC-59CD8921501E}"/>
            </a:ext>
          </a:extLst>
        </xdr:cNvPr>
        <xdr:cNvSpPr/>
      </xdr:nvSpPr>
      <xdr:spPr>
        <a:xfrm rot="10800000">
          <a:off x="5263241" y="576943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image" Target="../media/image6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2:K16"/>
  <sheetViews>
    <sheetView workbookViewId="0">
      <selection activeCell="D3" sqref="D3:K5"/>
    </sheetView>
  </sheetViews>
  <sheetFormatPr defaultRowHeight="14.6" x14ac:dyDescent="0.4"/>
  <sheetData>
    <row r="2" spans="4:11" x14ac:dyDescent="0.4">
      <c r="D2">
        <f>C2-SUMIFS(Transações!E:E,Transações!B:B,Contas!A2,Transações!D:D,"D")
+
SUMIFS(Transações!E:E,Transações!B:B,Contas!A2,Transações!D:D,"C")</f>
        <v>-640</v>
      </c>
    </row>
    <row r="3" spans="4:11" x14ac:dyDescent="0.4">
      <c r="D3" s="15" t="s">
        <v>0</v>
      </c>
      <c r="E3" s="15"/>
      <c r="F3" s="15"/>
      <c r="G3" s="15"/>
      <c r="H3" s="15"/>
      <c r="I3" s="15"/>
      <c r="J3" s="15"/>
      <c r="K3" s="15"/>
    </row>
    <row r="4" spans="4:11" x14ac:dyDescent="0.4">
      <c r="D4" s="15"/>
      <c r="E4" s="15"/>
      <c r="F4" s="15"/>
      <c r="G4" s="15"/>
      <c r="H4" s="15"/>
      <c r="I4" s="15"/>
      <c r="J4" s="15"/>
      <c r="K4" s="15"/>
    </row>
    <row r="5" spans="4:11" x14ac:dyDescent="0.4">
      <c r="D5" s="15"/>
      <c r="E5" s="15"/>
      <c r="F5" s="15"/>
      <c r="G5" s="15"/>
      <c r="H5" s="15"/>
      <c r="I5" s="15"/>
      <c r="J5" s="15"/>
      <c r="K5" s="15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btnLogar">
          <controlPr defaultSize="0" autoLine="0" autoPict="0" r:id="rId5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4" name="btnLogar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5" r:id="rId8" name="txtConta">
          <controlPr defaultSize="0" autoLine="0" r:id="rId9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8" name="txtCon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A6" sqref="A6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360</v>
      </c>
      <c r="E2" t="s">
        <v>10</v>
      </c>
      <c r="F2" t="s">
        <v>11</v>
      </c>
      <c r="J2">
        <v>45133</v>
      </c>
      <c r="K2" s="6">
        <f>VLOOKUP(J2,A:F,3,0)</f>
        <v>10000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1800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1859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7200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4:P6"/>
  <sheetViews>
    <sheetView workbookViewId="0"/>
  </sheetViews>
  <sheetFormatPr defaultRowHeight="14.6" x14ac:dyDescent="0.4"/>
  <sheetData>
    <row r="4" spans="5:16" ht="20.6" x14ac:dyDescent="0.55000000000000004">
      <c r="E4" s="16" t="s">
        <v>18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</row>
    <row r="6" spans="5:16" ht="20.6" x14ac:dyDescent="0.55000000000000004">
      <c r="E6" s="16" t="s">
        <v>19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</row>
  </sheetData>
  <mergeCells count="2">
    <mergeCell ref="E4:P4"/>
    <mergeCell ref="E6:P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2:P35"/>
  <sheetViews>
    <sheetView showGridLines="0" workbookViewId="0"/>
  </sheetViews>
  <sheetFormatPr defaultColWidth="0" defaultRowHeight="14.6" x14ac:dyDescent="0.4"/>
  <cols>
    <col min="1" max="4" width="9.23046875" customWidth="1"/>
    <col min="5" max="5" width="12.3828125" bestFit="1" customWidth="1"/>
    <col min="6" max="6" width="10.53515625" bestFit="1" customWidth="1"/>
    <col min="7" max="7" width="9.23046875" customWidth="1"/>
    <col min="8" max="8" width="9.921875" bestFit="1" customWidth="1"/>
    <col min="9" max="9" width="7" bestFit="1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20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D5" s="16" t="s">
        <v>20</v>
      </c>
      <c r="E5" s="16"/>
      <c r="F5" s="16"/>
      <c r="G5" s="16"/>
      <c r="H5" s="16"/>
      <c r="I5" s="16"/>
      <c r="J5" s="16"/>
      <c r="K5" s="16"/>
      <c r="L5" s="19"/>
      <c r="M5" s="19"/>
    </row>
    <row r="6" spans="2:13" ht="20.6" x14ac:dyDescent="0.55000000000000004">
      <c r="C6" s="19"/>
      <c r="D6" s="16" t="s">
        <v>21</v>
      </c>
      <c r="E6" s="16"/>
      <c r="F6" s="16"/>
      <c r="G6" s="16"/>
      <c r="H6" s="16"/>
      <c r="I6" s="16"/>
      <c r="J6" s="16"/>
      <c r="K6" s="16"/>
      <c r="L6" s="19"/>
      <c r="M6" s="19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5:11" ht="14.6" customHeight="1" x14ac:dyDescent="0.4">
      <c r="G17" s="13"/>
      <c r="H17" s="13"/>
      <c r="I17" s="13"/>
    </row>
    <row r="18" spans="5:11" ht="14.6" customHeight="1" x14ac:dyDescent="0.4">
      <c r="G18" s="13"/>
      <c r="H18" s="13"/>
      <c r="I18" s="13"/>
    </row>
    <row r="19" spans="5:11" ht="14.6" customHeight="1" x14ac:dyDescent="0.4">
      <c r="G19" s="13"/>
      <c r="H19" s="13"/>
      <c r="I19" s="13"/>
    </row>
    <row r="20" spans="5:11" ht="14.6" customHeight="1" x14ac:dyDescent="0.4">
      <c r="G20" s="13"/>
      <c r="H20" s="13"/>
      <c r="I20" s="13"/>
    </row>
    <row r="21" spans="5:11" ht="14.6" customHeight="1" x14ac:dyDescent="0.4">
      <c r="G21" s="13"/>
      <c r="H21" s="13"/>
      <c r="I21" s="13"/>
    </row>
    <row r="26" spans="5:11" ht="14.6" customHeight="1" x14ac:dyDescent="0.4">
      <c r="H26" s="13"/>
      <c r="I26" s="13"/>
    </row>
    <row r="27" spans="5:11" ht="18.45" customHeight="1" x14ac:dyDescent="0.4">
      <c r="E27" s="17" t="s">
        <v>22</v>
      </c>
      <c r="F27" s="17"/>
      <c r="G27" s="17"/>
      <c r="H27" s="17"/>
      <c r="I27" s="17"/>
      <c r="J27" s="17"/>
      <c r="K27" s="13"/>
    </row>
    <row r="28" spans="5:11" ht="14.6" customHeight="1" x14ac:dyDescent="0.4">
      <c r="E28" s="17"/>
      <c r="F28" s="17"/>
      <c r="G28" s="17"/>
      <c r="H28" s="17"/>
      <c r="I28" s="17"/>
      <c r="J28" s="17"/>
      <c r="K28" s="13"/>
    </row>
    <row r="29" spans="5:11" ht="14.6" customHeight="1" x14ac:dyDescent="0.4">
      <c r="E29" s="17"/>
      <c r="F29" s="17"/>
      <c r="G29" s="17"/>
      <c r="H29" s="17"/>
      <c r="I29" s="17"/>
      <c r="J29" s="17"/>
      <c r="K29" s="13"/>
    </row>
    <row r="30" spans="5:11" ht="14.6" customHeight="1" x14ac:dyDescent="0.4">
      <c r="E30" s="17"/>
      <c r="F30" s="17"/>
      <c r="G30" s="17"/>
      <c r="H30" s="17"/>
      <c r="I30" s="17"/>
      <c r="J30" s="17"/>
    </row>
    <row r="31" spans="5:11" ht="14.6" customHeight="1" x14ac:dyDescent="0.4"/>
    <row r="32" spans="5:11" ht="14.6" customHeight="1" x14ac:dyDescent="0.4">
      <c r="G32" s="14" t="s">
        <v>43</v>
      </c>
    </row>
    <row r="35" spans="4:4" ht="15.9" x14ac:dyDescent="0.45">
      <c r="D35" s="2" t="s">
        <v>23</v>
      </c>
    </row>
  </sheetData>
  <mergeCells count="3">
    <mergeCell ref="D5:K5"/>
    <mergeCell ref="D6:K6"/>
    <mergeCell ref="E27:J3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r:id="rId5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321129</xdr:colOff>
                <xdr:row>32</xdr:row>
                <xdr:rowOff>146957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3845-2BBD-47E5-9EC0-091E87A9D18F}">
  <sheetPr codeName="Planilha7"/>
  <dimension ref="A2:P35"/>
  <sheetViews>
    <sheetView showGridLines="0" workbookViewId="0"/>
  </sheetViews>
  <sheetFormatPr defaultColWidth="0" defaultRowHeight="14.6" x14ac:dyDescent="0.4"/>
  <cols>
    <col min="1" max="4" width="9.23046875" customWidth="1"/>
    <col min="5" max="5" width="12.3828125" bestFit="1" customWidth="1"/>
    <col min="6" max="6" width="9.07421875" bestFit="1" customWidth="1"/>
    <col min="7" max="7" width="9.23046875" customWidth="1"/>
    <col min="8" max="8" width="9.921875" bestFit="1" customWidth="1"/>
    <col min="9" max="9" width="6.765625" bestFit="1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20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16" t="s">
        <v>20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</row>
    <row r="6" spans="2:13" ht="20.6" x14ac:dyDescent="0.55000000000000004">
      <c r="B6" s="16" t="s">
        <v>21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</row>
    <row r="11" spans="2:13" ht="14.6" customHeight="1" x14ac:dyDescent="0.4">
      <c r="H11" s="13"/>
      <c r="I11" s="13"/>
    </row>
    <row r="12" spans="2:13" ht="14.6" customHeight="1" x14ac:dyDescent="0.4">
      <c r="G12" s="13"/>
      <c r="H12" s="13"/>
      <c r="I12" s="13"/>
    </row>
    <row r="13" spans="2:13" ht="14.6" customHeight="1" x14ac:dyDescent="0.4">
      <c r="G13" s="13"/>
      <c r="H13" s="13"/>
      <c r="I13" s="13"/>
    </row>
    <row r="14" spans="2:13" ht="14.6" customHeight="1" x14ac:dyDescent="0.4">
      <c r="G14" s="13"/>
      <c r="H14" s="13"/>
      <c r="I14" s="13"/>
    </row>
    <row r="15" spans="2:13" ht="14.6" customHeight="1" x14ac:dyDescent="0.4">
      <c r="G15" s="13"/>
      <c r="H15" s="13"/>
      <c r="I15" s="13"/>
    </row>
    <row r="16" spans="2:13" ht="14.6" customHeight="1" x14ac:dyDescent="0.4">
      <c r="G16" s="13"/>
      <c r="H16" s="13"/>
      <c r="I16" s="13"/>
    </row>
    <row r="17" spans="7:9" ht="14.6" customHeight="1" x14ac:dyDescent="0.4">
      <c r="G17" s="13"/>
      <c r="H17" s="13"/>
      <c r="I17" s="13"/>
    </row>
    <row r="18" spans="7:9" ht="14.6" customHeight="1" x14ac:dyDescent="0.4">
      <c r="G18" s="13"/>
      <c r="H18" s="13"/>
      <c r="I18" s="13"/>
    </row>
    <row r="19" spans="7:9" ht="14.6" customHeight="1" x14ac:dyDescent="0.4">
      <c r="G19" s="13"/>
      <c r="H19" s="13"/>
      <c r="I19" s="13"/>
    </row>
    <row r="20" spans="7:9" ht="14.6" customHeight="1" x14ac:dyDescent="0.4">
      <c r="G20" s="13"/>
      <c r="H20" s="13"/>
      <c r="I20" s="13"/>
    </row>
    <row r="21" spans="7:9" ht="14.6" customHeight="1" x14ac:dyDescent="0.4">
      <c r="G21" s="13"/>
      <c r="H21" s="13"/>
      <c r="I21" s="13"/>
    </row>
    <row r="26" spans="7:9" ht="14.6" customHeight="1" x14ac:dyDescent="0.4"/>
    <row r="27" spans="7:9" ht="18.45" customHeight="1" x14ac:dyDescent="0.4"/>
    <row r="28" spans="7:9" ht="14.6" customHeight="1" x14ac:dyDescent="0.4"/>
    <row r="29" spans="7:9" ht="14.6" customHeight="1" x14ac:dyDescent="0.4"/>
    <row r="30" spans="7:9" ht="14.6" customHeight="1" x14ac:dyDescent="0.4">
      <c r="G30" s="13"/>
      <c r="H30" s="13"/>
      <c r="I30" s="13"/>
    </row>
    <row r="31" spans="7:9" ht="14.6" customHeight="1" x14ac:dyDescent="0.4"/>
    <row r="32" spans="7:9" ht="14.6" customHeight="1" x14ac:dyDescent="0.4">
      <c r="G32" s="14" t="s">
        <v>41</v>
      </c>
    </row>
    <row r="35" spans="6:6" ht="15.9" x14ac:dyDescent="0.45">
      <c r="F35" s="2"/>
    </row>
  </sheetData>
  <mergeCells count="2">
    <mergeCell ref="B5:M5"/>
    <mergeCell ref="B6:M6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6145" r:id="rId3" name="txtValorDep">
          <controlPr defaultSize="0" autoLine="0" r:id="rId4">
            <anchor moveWithCells="1">
              <from>
                <xdr:col>7</xdr:col>
                <xdr:colOff>359229</xdr:colOff>
                <xdr:row>30</xdr:row>
                <xdr:rowOff>136071</xdr:rowOff>
              </from>
              <to>
                <xdr:col>10</xdr:col>
                <xdr:colOff>337457</xdr:colOff>
                <xdr:row>32</xdr:row>
                <xdr:rowOff>146957</xdr:rowOff>
              </to>
            </anchor>
          </controlPr>
        </control>
      </mc:Choice>
      <mc:Fallback>
        <control shapeId="6145" r:id="rId3" name="txtValorDe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4DA4B-30DA-4022-9E68-1385389A74E9}">
  <sheetPr codeName="Planilha9"/>
  <dimension ref="B2:M21"/>
  <sheetViews>
    <sheetView workbookViewId="0"/>
  </sheetViews>
  <sheetFormatPr defaultRowHeight="14.6" x14ac:dyDescent="0.4"/>
  <cols>
    <col min="4" max="4" width="22.765625" bestFit="1" customWidth="1"/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20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2:13" ht="20.6" x14ac:dyDescent="0.55000000000000004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8" spans="2:13" ht="20.6" x14ac:dyDescent="0.55000000000000004">
      <c r="D8" s="16" t="s">
        <v>35</v>
      </c>
      <c r="E8" s="16"/>
      <c r="F8" s="16"/>
      <c r="G8" s="16"/>
      <c r="H8" s="16"/>
      <c r="I8" s="16"/>
      <c r="J8" s="16"/>
    </row>
    <row r="15" spans="2:13" ht="23.6" x14ac:dyDescent="0.65">
      <c r="D15" s="1" t="s">
        <v>36</v>
      </c>
    </row>
    <row r="18" spans="4:4" ht="23.6" x14ac:dyDescent="0.65">
      <c r="D18" s="1" t="s">
        <v>37</v>
      </c>
    </row>
    <row r="21" spans="4:4" ht="23.6" x14ac:dyDescent="0.65">
      <c r="D21" s="1" t="s">
        <v>38</v>
      </c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9225" r:id="rId3" name="txtBeneficiario">
          <controlPr defaultSize="0" autoLine="0" r:id="rId4">
            <anchor moveWithCells="1">
              <from>
                <xdr:col>4</xdr:col>
                <xdr:colOff>59871</xdr:colOff>
                <xdr:row>19</xdr:row>
                <xdr:rowOff>179614</xdr:rowOff>
              </from>
              <to>
                <xdr:col>10</xdr:col>
                <xdr:colOff>65314</xdr:colOff>
                <xdr:row>21</xdr:row>
                <xdr:rowOff>38100</xdr:rowOff>
              </to>
            </anchor>
          </controlPr>
        </control>
      </mc:Choice>
      <mc:Fallback>
        <control shapeId="9225" r:id="rId3" name="txtBeneficiario"/>
      </mc:Fallback>
    </mc:AlternateContent>
    <mc:AlternateContent xmlns:mc="http://schemas.openxmlformats.org/markup-compatibility/2006">
      <mc:Choice Requires="x14">
        <control shapeId="9224" r:id="rId5" name="txtValor">
          <controlPr defaultSize="0" autoLine="0" r:id="rId4">
            <anchor moveWithCells="1">
              <from>
                <xdr:col>4</xdr:col>
                <xdr:colOff>59871</xdr:colOff>
                <xdr:row>16</xdr:row>
                <xdr:rowOff>174171</xdr:rowOff>
              </from>
              <to>
                <xdr:col>10</xdr:col>
                <xdr:colOff>65314</xdr:colOff>
                <xdr:row>18</xdr:row>
                <xdr:rowOff>32657</xdr:rowOff>
              </to>
            </anchor>
          </controlPr>
        </control>
      </mc:Choice>
      <mc:Fallback>
        <control shapeId="9224" r:id="rId5" name="txtValor"/>
      </mc:Fallback>
    </mc:AlternateContent>
    <mc:AlternateContent xmlns:mc="http://schemas.openxmlformats.org/markup-compatibility/2006">
      <mc:Choice Requires="x14">
        <control shapeId="9221" r:id="rId6" name="txtCodigoBarras">
          <controlPr defaultSize="0" autoLine="0" r:id="rId7">
            <anchor moveWithCells="1">
              <from>
                <xdr:col>4</xdr:col>
                <xdr:colOff>59871</xdr:colOff>
                <xdr:row>13</xdr:row>
                <xdr:rowOff>174171</xdr:rowOff>
              </from>
              <to>
                <xdr:col>10</xdr:col>
                <xdr:colOff>65314</xdr:colOff>
                <xdr:row>15</xdr:row>
                <xdr:rowOff>32657</xdr:rowOff>
              </to>
            </anchor>
          </controlPr>
        </control>
      </mc:Choice>
      <mc:Fallback>
        <control shapeId="9221" r:id="rId6" name="txtCodigoBarra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18F3D-B18B-4912-A277-2A00E2912FDA}">
  <sheetPr codeName="Planilha10"/>
  <dimension ref="B2:M8"/>
  <sheetViews>
    <sheetView tabSelected="1" workbookViewId="0">
      <selection activeCell="H20" sqref="H20"/>
    </sheetView>
  </sheetViews>
  <sheetFormatPr defaultRowHeight="14.6" x14ac:dyDescent="0.4"/>
  <cols>
    <col min="5" max="5" width="12.3828125" bestFit="1" customWidth="1"/>
    <col min="6" max="6" width="10.53515625" bestFit="1" customWidth="1"/>
    <col min="8" max="8" width="9.921875" bestFit="1" customWidth="1"/>
    <col min="9" max="9" width="7" bestFit="1" customWidth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40</v>
      </c>
      <c r="F2" s="20">
        <f>VLOOKUP(C2,Contas!A:D,4,0)</f>
        <v>7200</v>
      </c>
      <c r="H2" s="7" t="s">
        <v>30</v>
      </c>
      <c r="I2" s="7" t="str">
        <f>VLOOKUP(C2,Contas!A:E,5,0)</f>
        <v>Hilda</v>
      </c>
    </row>
    <row r="5" spans="2:13" ht="20.6" x14ac:dyDescent="0.55000000000000004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</row>
    <row r="6" spans="2:13" ht="20.6" x14ac:dyDescent="0.55000000000000004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</row>
    <row r="8" spans="2:13" ht="20.6" x14ac:dyDescent="0.55000000000000004">
      <c r="D8" s="16" t="s">
        <v>42</v>
      </c>
      <c r="E8" s="16"/>
      <c r="F8" s="16"/>
      <c r="G8" s="16"/>
      <c r="H8" s="16"/>
      <c r="I8" s="16"/>
      <c r="J8" s="16"/>
    </row>
  </sheetData>
  <mergeCells count="1">
    <mergeCell ref="D8:J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959F2-BD3E-4316-8D69-82FF72FEC32F}">
  <sheetPr codeName="Planilha11"/>
  <dimension ref="B1:G17"/>
  <sheetViews>
    <sheetView workbookViewId="0"/>
  </sheetViews>
  <sheetFormatPr defaultRowHeight="18.45" x14ac:dyDescent="0.5"/>
  <cols>
    <col min="2" max="2" width="14.765625" style="10" bestFit="1" customWidth="1"/>
    <col min="3" max="3" width="13.07421875" style="10" bestFit="1" customWidth="1"/>
    <col min="4" max="4" width="14.4609375" style="10" bestFit="1" customWidth="1"/>
    <col min="5" max="5" width="11.61328125" style="21" bestFit="1" customWidth="1"/>
    <col min="6" max="6" width="13.07421875" style="10" bestFit="1" customWidth="1"/>
    <col min="7" max="7" width="14.15234375" style="10" bestFit="1" customWidth="1"/>
  </cols>
  <sheetData>
    <row r="1" spans="2:7" x14ac:dyDescent="0.5">
      <c r="E1" s="10"/>
    </row>
    <row r="2" spans="2:7" x14ac:dyDescent="0.5">
      <c r="E2" s="10"/>
    </row>
    <row r="3" spans="2:7" ht="23.6" x14ac:dyDescent="0.65">
      <c r="B3" s="9" t="s">
        <v>44</v>
      </c>
      <c r="C3" s="9" t="s">
        <v>45</v>
      </c>
      <c r="E3" s="10"/>
    </row>
    <row r="4" spans="2:7" x14ac:dyDescent="0.5">
      <c r="B4" s="11">
        <f ca="1">C4-30</f>
        <v>45710</v>
      </c>
      <c r="C4" s="11">
        <f ca="1">TODAY()</f>
        <v>45740</v>
      </c>
      <c r="E4" s="10"/>
    </row>
    <row r="5" spans="2:7" x14ac:dyDescent="0.5">
      <c r="E5" s="10"/>
    </row>
    <row r="6" spans="2:7" x14ac:dyDescent="0.5">
      <c r="E6" s="10"/>
    </row>
    <row r="7" spans="2:7" x14ac:dyDescent="0.5">
      <c r="E7" s="10"/>
    </row>
    <row r="8" spans="2:7" ht="23.6" x14ac:dyDescent="0.65">
      <c r="B8" s="9" t="s">
        <v>3</v>
      </c>
      <c r="C8" s="9" t="s">
        <v>7</v>
      </c>
      <c r="D8" s="9" t="s">
        <v>26</v>
      </c>
      <c r="E8" s="9" t="s">
        <v>27</v>
      </c>
      <c r="F8" s="9" t="s">
        <v>28</v>
      </c>
      <c r="G8" s="9" t="s">
        <v>29</v>
      </c>
    </row>
    <row r="9" spans="2:7" ht="14.6" x14ac:dyDescent="0.4">
      <c r="B9">
        <v>45133</v>
      </c>
      <c r="C9" t="s">
        <v>15</v>
      </c>
      <c r="D9" t="s">
        <v>31</v>
      </c>
      <c r="E9" s="6">
        <v>1000</v>
      </c>
      <c r="F9">
        <v>45740</v>
      </c>
      <c r="G9" t="s">
        <v>32</v>
      </c>
    </row>
    <row r="10" spans="2:7" ht="14.6" x14ac:dyDescent="0.4">
      <c r="B10">
        <v>45133</v>
      </c>
      <c r="C10" t="s">
        <v>15</v>
      </c>
      <c r="D10" t="s">
        <v>31</v>
      </c>
      <c r="E10" s="6">
        <v>300</v>
      </c>
      <c r="F10">
        <v>45740</v>
      </c>
      <c r="G10" t="s">
        <v>32</v>
      </c>
    </row>
    <row r="11" spans="2:7" ht="14.6" x14ac:dyDescent="0.4">
      <c r="B11">
        <v>45133</v>
      </c>
      <c r="C11" t="s">
        <v>15</v>
      </c>
      <c r="D11" t="s">
        <v>31</v>
      </c>
      <c r="E11" s="6">
        <v>1500</v>
      </c>
      <c r="F11">
        <v>45740</v>
      </c>
      <c r="G11" t="s">
        <v>46</v>
      </c>
    </row>
    <row r="12" spans="2:7" ht="14.6" x14ac:dyDescent="0.4">
      <c r="B12"/>
      <c r="C12"/>
      <c r="D12"/>
      <c r="E12" s="6"/>
      <c r="F12"/>
      <c r="G12"/>
    </row>
    <row r="13" spans="2:7" ht="14.6" x14ac:dyDescent="0.4">
      <c r="B13"/>
      <c r="C13"/>
      <c r="D13"/>
      <c r="E13" s="6"/>
      <c r="F13"/>
      <c r="G13"/>
    </row>
    <row r="14" spans="2:7" ht="14.6" x14ac:dyDescent="0.4">
      <c r="B14"/>
      <c r="C14"/>
      <c r="D14"/>
      <c r="E14" s="6"/>
      <c r="F14"/>
      <c r="G14"/>
    </row>
    <row r="15" spans="2:7" ht="14.6" x14ac:dyDescent="0.4">
      <c r="B15"/>
      <c r="C15"/>
      <c r="D15"/>
      <c r="E15" s="6"/>
      <c r="F15"/>
      <c r="G15"/>
    </row>
    <row r="16" spans="2:7" ht="14.6" x14ac:dyDescent="0.4">
      <c r="B16"/>
      <c r="C16"/>
      <c r="D16"/>
      <c r="E16" s="6"/>
      <c r="F16"/>
      <c r="G16"/>
    </row>
    <row r="17" spans="5:5" customFormat="1" ht="14.6" x14ac:dyDescent="0.4">
      <c r="E17" s="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24</v>
      </c>
    </row>
    <row r="10" spans="5:13" ht="14.6" customHeight="1" x14ac:dyDescent="0.4">
      <c r="I10" s="18">
        <v>0</v>
      </c>
      <c r="J10" s="18"/>
      <c r="K10" s="18"/>
      <c r="L10" s="18"/>
      <c r="M10" s="18"/>
    </row>
    <row r="11" spans="5:13" ht="14.6" customHeight="1" x14ac:dyDescent="0.4">
      <c r="I11" s="18"/>
      <c r="J11" s="18"/>
      <c r="K11" s="18"/>
      <c r="L11" s="18"/>
      <c r="M11" s="18"/>
    </row>
    <row r="12" spans="5:13" ht="14.6" customHeight="1" x14ac:dyDescent="0.4">
      <c r="I12" s="18"/>
      <c r="J12" s="18"/>
      <c r="K12" s="18"/>
      <c r="L12" s="18"/>
      <c r="M12" s="18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18">
        <v>0</v>
      </c>
      <c r="J16" s="18"/>
      <c r="K16" s="18"/>
      <c r="L16" s="18"/>
      <c r="M16" s="18"/>
    </row>
    <row r="17" spans="5:13" ht="14.6" customHeight="1" x14ac:dyDescent="0.4">
      <c r="I17" s="18"/>
      <c r="J17" s="18"/>
      <c r="K17" s="18"/>
      <c r="L17" s="18"/>
      <c r="M17" s="18"/>
    </row>
    <row r="18" spans="5:13" ht="14.6" customHeight="1" x14ac:dyDescent="0.4">
      <c r="I18" s="18"/>
      <c r="J18" s="18"/>
      <c r="K18" s="18"/>
      <c r="L18" s="18"/>
      <c r="M18" s="18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18">
        <v>0</v>
      </c>
      <c r="J21" s="18"/>
      <c r="K21" s="18"/>
      <c r="L21" s="18"/>
      <c r="M21" s="18"/>
    </row>
    <row r="22" spans="5:13" ht="14.6" customHeight="1" x14ac:dyDescent="0.4">
      <c r="I22" s="18"/>
      <c r="J22" s="18"/>
      <c r="K22" s="18"/>
      <c r="L22" s="18"/>
      <c r="M22" s="18"/>
    </row>
    <row r="23" spans="5:13" ht="14.6" customHeight="1" x14ac:dyDescent="0.4">
      <c r="I23" s="18"/>
      <c r="J23" s="18"/>
      <c r="K23" s="18"/>
      <c r="L23" s="18"/>
      <c r="M23" s="18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18">
        <v>6</v>
      </c>
      <c r="J26" s="18"/>
      <c r="K26" s="18"/>
      <c r="L26" s="18"/>
      <c r="M26" s="18"/>
    </row>
    <row r="27" spans="5:13" ht="14.6" customHeight="1" x14ac:dyDescent="0.4">
      <c r="I27" s="18"/>
      <c r="J27" s="18"/>
      <c r="K27" s="18"/>
      <c r="L27" s="18"/>
      <c r="M27" s="18"/>
    </row>
    <row r="28" spans="5:13" ht="14.6" customHeight="1" x14ac:dyDescent="0.4">
      <c r="I28" s="18"/>
      <c r="J28" s="18"/>
      <c r="K28" s="18"/>
      <c r="L28" s="18"/>
      <c r="M28" s="18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13"/>
  <sheetViews>
    <sheetView workbookViewId="0">
      <selection activeCell="D17" sqref="D17"/>
    </sheetView>
  </sheetViews>
  <sheetFormatPr defaultRowHeight="18.45" x14ac:dyDescent="0.5"/>
  <cols>
    <col min="1" max="1" width="3.921875" style="10" bestFit="1" customWidth="1"/>
    <col min="2" max="2" width="8.921875" style="10" bestFit="1" customWidth="1"/>
    <col min="3" max="3" width="9.07421875" style="10" bestFit="1" customWidth="1"/>
    <col min="4" max="4" width="14.4609375" style="10" bestFit="1" customWidth="1"/>
    <col min="5" max="5" width="7.765625" style="10" bestFit="1" customWidth="1"/>
    <col min="6" max="6" width="13.07421875" style="10" bestFit="1" customWidth="1"/>
    <col min="7" max="7" width="14.15234375" style="10" bestFit="1" customWidth="1"/>
  </cols>
  <sheetData>
    <row r="1" spans="1:7" ht="23.6" x14ac:dyDescent="0.65">
      <c r="A1" s="9" t="s">
        <v>25</v>
      </c>
      <c r="B1" s="9" t="s">
        <v>3</v>
      </c>
      <c r="C1" s="9" t="s">
        <v>7</v>
      </c>
      <c r="D1" s="9" t="s">
        <v>26</v>
      </c>
      <c r="E1" s="9" t="s">
        <v>27</v>
      </c>
      <c r="F1" s="9" t="s">
        <v>28</v>
      </c>
      <c r="G1" s="9" t="s">
        <v>29</v>
      </c>
    </row>
    <row r="2" spans="1:7" x14ac:dyDescent="0.5">
      <c r="A2" s="10">
        <v>2</v>
      </c>
      <c r="B2" s="10">
        <v>32456</v>
      </c>
      <c r="C2" s="10" t="s">
        <v>13</v>
      </c>
      <c r="D2" s="10" t="s">
        <v>31</v>
      </c>
      <c r="E2" s="10">
        <v>200</v>
      </c>
      <c r="F2" s="11">
        <v>45739</v>
      </c>
      <c r="G2" s="12"/>
    </row>
    <row r="3" spans="1:7" x14ac:dyDescent="0.5">
      <c r="A3" s="10">
        <v>3</v>
      </c>
      <c r="B3" s="10">
        <v>98545</v>
      </c>
      <c r="C3" s="10" t="s">
        <v>10</v>
      </c>
      <c r="D3" s="10" t="s">
        <v>31</v>
      </c>
      <c r="E3" s="10">
        <v>439</v>
      </c>
      <c r="F3" s="11">
        <v>45738</v>
      </c>
    </row>
    <row r="4" spans="1:7" x14ac:dyDescent="0.5">
      <c r="A4" s="10">
        <v>4</v>
      </c>
      <c r="B4" s="10">
        <v>98545</v>
      </c>
      <c r="C4" s="10" t="s">
        <v>10</v>
      </c>
      <c r="D4" s="10" t="s">
        <v>31</v>
      </c>
      <c r="E4" s="10">
        <v>300</v>
      </c>
      <c r="F4" s="11">
        <v>45738</v>
      </c>
    </row>
    <row r="5" spans="1:7" x14ac:dyDescent="0.5">
      <c r="A5" s="10">
        <v>5</v>
      </c>
      <c r="B5" s="10">
        <v>98545</v>
      </c>
      <c r="C5" s="10" t="s">
        <v>10</v>
      </c>
      <c r="D5" s="10" t="s">
        <v>33</v>
      </c>
      <c r="E5" s="10">
        <v>300</v>
      </c>
      <c r="F5" s="11">
        <v>45738</v>
      </c>
    </row>
    <row r="6" spans="1:7" x14ac:dyDescent="0.5">
      <c r="A6" s="10">
        <v>6</v>
      </c>
      <c r="B6" s="10">
        <v>98545</v>
      </c>
      <c r="C6" s="10" t="s">
        <v>10</v>
      </c>
      <c r="D6" s="10" t="s">
        <v>31</v>
      </c>
      <c r="E6" s="10">
        <v>100</v>
      </c>
      <c r="F6" s="11">
        <v>45738</v>
      </c>
      <c r="G6" s="10" t="s">
        <v>32</v>
      </c>
    </row>
    <row r="7" spans="1:7" x14ac:dyDescent="0.5">
      <c r="A7" s="10">
        <v>7</v>
      </c>
      <c r="B7" s="10">
        <v>98545</v>
      </c>
      <c r="C7" s="10" t="s">
        <v>10</v>
      </c>
      <c r="D7" s="10" t="s">
        <v>33</v>
      </c>
      <c r="E7" s="10">
        <v>49</v>
      </c>
      <c r="F7" s="11">
        <v>45740</v>
      </c>
      <c r="G7" s="10" t="s">
        <v>34</v>
      </c>
    </row>
    <row r="8" spans="1:7" x14ac:dyDescent="0.5">
      <c r="A8" s="10">
        <v>8</v>
      </c>
      <c r="B8" s="10">
        <v>98545</v>
      </c>
      <c r="C8" s="10" t="s">
        <v>10</v>
      </c>
      <c r="D8" s="10" t="s">
        <v>33</v>
      </c>
      <c r="E8" s="10">
        <v>300</v>
      </c>
      <c r="F8" s="11">
        <v>45740</v>
      </c>
      <c r="G8" s="10" t="s">
        <v>34</v>
      </c>
    </row>
    <row r="9" spans="1:7" x14ac:dyDescent="0.5">
      <c r="A9" s="10">
        <v>9</v>
      </c>
      <c r="B9" s="10">
        <v>98545</v>
      </c>
      <c r="C9" s="10" t="s">
        <v>10</v>
      </c>
      <c r="D9" s="10" t="s">
        <v>31</v>
      </c>
      <c r="E9" s="10">
        <v>300</v>
      </c>
      <c r="F9" s="11">
        <v>45740</v>
      </c>
      <c r="G9" s="10" t="s">
        <v>32</v>
      </c>
    </row>
    <row r="10" spans="1:7" x14ac:dyDescent="0.5">
      <c r="A10" s="10">
        <v>10</v>
      </c>
      <c r="B10" s="10">
        <v>98545</v>
      </c>
      <c r="C10" s="10" t="s">
        <v>10</v>
      </c>
      <c r="D10" s="10" t="s">
        <v>31</v>
      </c>
      <c r="E10" s="10">
        <v>150</v>
      </c>
      <c r="F10" s="11">
        <v>45740</v>
      </c>
      <c r="G10" s="10" t="s">
        <v>39</v>
      </c>
    </row>
    <row r="11" spans="1:7" x14ac:dyDescent="0.5">
      <c r="A11" s="10">
        <v>11</v>
      </c>
      <c r="B11" s="10">
        <v>45133</v>
      </c>
      <c r="C11" s="10" t="s">
        <v>15</v>
      </c>
      <c r="D11" s="10" t="s">
        <v>31</v>
      </c>
      <c r="E11" s="10">
        <v>1000</v>
      </c>
      <c r="F11" s="11">
        <v>45740</v>
      </c>
      <c r="G11" s="10" t="s">
        <v>32</v>
      </c>
    </row>
    <row r="12" spans="1:7" x14ac:dyDescent="0.5">
      <c r="A12" s="10">
        <v>12</v>
      </c>
      <c r="B12" s="10">
        <v>45133</v>
      </c>
      <c r="C12" s="10" t="s">
        <v>15</v>
      </c>
      <c r="D12" s="10" t="s">
        <v>31</v>
      </c>
      <c r="E12" s="10">
        <v>300</v>
      </c>
      <c r="F12" s="11">
        <v>45740</v>
      </c>
      <c r="G12" s="10" t="s">
        <v>32</v>
      </c>
    </row>
    <row r="13" spans="1:7" x14ac:dyDescent="0.5">
      <c r="A13" s="10">
        <v>13</v>
      </c>
      <c r="B13" s="10">
        <v>45133</v>
      </c>
      <c r="C13" s="10" t="s">
        <v>15</v>
      </c>
      <c r="D13" s="10" t="s">
        <v>31</v>
      </c>
      <c r="E13" s="10">
        <v>1500</v>
      </c>
      <c r="F13" s="11">
        <v>45740</v>
      </c>
      <c r="G13" s="10" t="s">
        <v>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Acesso</vt:lpstr>
      <vt:lpstr>Contas</vt:lpstr>
      <vt:lpstr>Tela Principal</vt:lpstr>
      <vt:lpstr>Saque</vt:lpstr>
      <vt:lpstr>Deposito</vt:lpstr>
      <vt:lpstr>Pagamentos</vt:lpstr>
      <vt:lpstr>Saldo e Extratos</vt:lpstr>
      <vt:lpstr>Extrato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2025-03-24T23:21:49Z</dcterms:modified>
</cp:coreProperties>
</file>