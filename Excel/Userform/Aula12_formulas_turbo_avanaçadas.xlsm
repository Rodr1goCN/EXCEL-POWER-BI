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215DDFED-2A07-4FC3-8C04-AA203E5D3143}" xr6:coauthVersionLast="47" xr6:coauthVersionMax="47" xr10:uidLastSave="{00000000-0000-0000-0000-000000000000}"/>
  <bookViews>
    <workbookView xWindow="1029" yWindow="4886" windowWidth="19337" windowHeight="9017" firstSheet="2" activeTab="4" xr2:uid="{6AFF29C4-3A8E-445C-A43C-39400C9F9E83}"/>
  </bookViews>
  <sheets>
    <sheet name="Planilha1" sheetId="1" r:id="rId1"/>
    <sheet name="Consolidar Pasta Externa" sheetId="14" r:id="rId2"/>
    <sheet name="Consolidar" sheetId="7" r:id="rId3"/>
    <sheet name="Email" sheetId="13" r:id="rId4"/>
    <sheet name="Word" sheetId="15" r:id="rId5"/>
    <sheet name="Acre" sheetId="8" r:id="rId6"/>
    <sheet name="Amazonas" sheetId="9" r:id="rId7"/>
    <sheet name="Maranhão" sheetId="10" r:id="rId8"/>
    <sheet name="Mato Grosso" sheetId="11" r:id="rId9"/>
    <sheet name="Paraná" sheetId="12" r:id="rId10"/>
  </sheets>
  <functionGroups builtInGroupCount="19"/>
  <definedNames>
    <definedName name="_xlnm._FilterDatabase" localSheetId="2" hidden="1">Consolidar!$A$1:$C$12</definedName>
    <definedName name="_xlnm._FilterDatabase" localSheetId="1" hidden="1">'Consolidar Pasta Externa'!$A$1:$G$48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5" l="1" a="1"/>
  <c r="I6" i="15" l="1"/>
  <c r="E3" i="15" l="1"/>
  <c r="E4" i="15"/>
  <c r="E5" i="15"/>
  <c r="E2" i="15"/>
  <c r="F4" i="1" a="1"/>
  <c r="C10" i="13" a="1"/>
  <c r="M12" i="14" a="1"/>
  <c r="I5" i="7" a="1"/>
  <c r="M12" i="14" l="1"/>
  <c r="C10" i="13"/>
  <c r="I5" i="7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<sst xmlns="http://schemas.openxmlformats.org/spreadsheetml/2006/main" count="369" uniqueCount="106">
  <si>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</si>
  <si>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</si>
  <si>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</si>
  <si>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</si>
  <si>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</si>
  <si>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</si>
  <si>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</si>
  <si>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</si>
  <si>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</si>
  <si>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</si>
  <si>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</si>
  <si>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</si>
  <si>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</si>
  <si>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</si>
  <si>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</si>
  <si>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</si>
  <si>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</si>
  <si>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</si>
  <si>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</si>
  <si>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</si>
  <si>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</si>
  <si>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</si>
  <si>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</si>
  <si>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</si>
  <si>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</si>
  <si>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</si>
  <si>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</si>
  <si>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</si>
  <si>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</si>
  <si>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</si>
  <si>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</si>
  <si>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</si>
  <si>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</si>
  <si>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</si>
  <si>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</si>
  <si>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</si>
  <si>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</si>
  <si>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</si>
  <si>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</si>
  <si>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</si>
  <si>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</si>
  <si>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</si>
  <si>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</si>
  <si>
    <t>Vendedor</t>
  </si>
  <si>
    <t>Email Vendedor</t>
  </si>
  <si>
    <t>Cliente</t>
  </si>
  <si>
    <t>Email Cliente</t>
  </si>
  <si>
    <t>Produto vendido</t>
  </si>
  <si>
    <t>Data</t>
  </si>
  <si>
    <t>Quantidade</t>
  </si>
  <si>
    <t>Aline Pereira</t>
  </si>
  <si>
    <t>aline_pereira@gmail.com</t>
  </si>
  <si>
    <t>Carla</t>
  </si>
  <si>
    <t>carla@gmail.com</t>
  </si>
  <si>
    <t>Tênis</t>
  </si>
  <si>
    <t>Rose</t>
  </si>
  <si>
    <t>rose@gmail.com</t>
  </si>
  <si>
    <t>Roberta</t>
  </si>
  <si>
    <t>roberta@gmail.com</t>
  </si>
  <si>
    <t>Calça</t>
  </si>
  <si>
    <t>Carla França</t>
  </si>
  <si>
    <t>carla_frança@gmail.com</t>
  </si>
  <si>
    <t>Relógio</t>
  </si>
  <si>
    <t>Solange</t>
  </si>
  <si>
    <t>solange@gmail.com</t>
  </si>
  <si>
    <t>Monica</t>
  </si>
  <si>
    <t>monica@gmail.com</t>
  </si>
  <si>
    <t>Sapato</t>
  </si>
  <si>
    <t>Elaine</t>
  </si>
  <si>
    <t>elaine@gmail.com</t>
  </si>
  <si>
    <t>José</t>
  </si>
  <si>
    <t>jose@gmail.com</t>
  </si>
  <si>
    <t>Mia</t>
  </si>
  <si>
    <t>mia@gmail.com</t>
  </si>
  <si>
    <t>José Oliveira</t>
  </si>
  <si>
    <t>jose_oliveira@gmail.com</t>
  </si>
  <si>
    <t>Alvaro</t>
  </si>
  <si>
    <t>alvaro@gmail.com</t>
  </si>
  <si>
    <t>alice@gmail.com</t>
  </si>
  <si>
    <t>Camisa</t>
  </si>
  <si>
    <t>Thuany</t>
  </si>
  <si>
    <t>thuany@gmail.com</t>
  </si>
  <si>
    <t>João Campos</t>
  </si>
  <si>
    <t>joao_campos@gmail.com</t>
  </si>
  <si>
    <t>Maria Helena</t>
  </si>
  <si>
    <t>maria_helena@gmail.com</t>
  </si>
  <si>
    <t>Miguel Araujo</t>
  </si>
  <si>
    <t>miguel_araujo@gmail.com</t>
  </si>
  <si>
    <t>Moisés Ferreira</t>
  </si>
  <si>
    <t>moises_ferreira@gmail.com</t>
  </si>
  <si>
    <t>Tabata Moreira</t>
  </si>
  <si>
    <t>tabata_moreira@gmail.com</t>
  </si>
  <si>
    <t>Produto</t>
  </si>
  <si>
    <t>Valor Unitário</t>
  </si>
  <si>
    <t>Unidades Vendidas</t>
  </si>
  <si>
    <t>Total</t>
  </si>
  <si>
    <t>Bulma</t>
  </si>
  <si>
    <t>Goku</t>
  </si>
  <si>
    <t>Vegeta</t>
  </si>
  <si>
    <t>Kuririn</t>
  </si>
  <si>
    <t>Bermuda</t>
  </si>
  <si>
    <t>Vestido Infantil</t>
  </si>
  <si>
    <t>Sapatilha Sapato</t>
  </si>
  <si>
    <t>* Tranfere as informações contidas na tabela ao lado para o word</t>
  </si>
  <si>
    <t xml:space="preserve">** para funcionar tem que marcar duas opções em - VBA &gt; Ferramentas &gt; referências </t>
  </si>
  <si>
    <r>
      <t xml:space="preserve">*** </t>
    </r>
    <r>
      <rPr>
        <b/>
        <sz val="11"/>
        <color theme="1"/>
        <rFont val="Aptos Narrow"/>
        <family val="2"/>
        <scheme val="minor"/>
      </rPr>
      <t>Microsoft Office 16.0 object Library</t>
    </r>
    <r>
      <rPr>
        <sz val="11"/>
        <color theme="1"/>
        <rFont val="Aptos Narrow"/>
        <family val="2"/>
        <scheme val="minor"/>
      </rPr>
      <t xml:space="preserve"> e </t>
    </r>
    <r>
      <rPr>
        <b/>
        <sz val="11"/>
        <color theme="1"/>
        <rFont val="Aptos Narrow"/>
        <family val="2"/>
        <scheme val="minor"/>
      </rPr>
      <t>Microsoft Word 16.0 object Library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</si>
</sst>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left"/>
    </xf>
    <xf numFmtId="14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16" t="s">
        <v>19</v>
      </c>
      <c r="F1" s="16"/>
      <c r="G1" s="16"/>
      <c r="H1" s="16"/>
      <c r="I1" s="16"/>
      <c r="J1" s="16"/>
      <c r="K1" s="16"/>
      <c r="L1" s="16"/>
      <c r="M1" s="16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BA3BE-53F1-4CCA-97BF-C751ED5367C0}">
  <sheetPr codeName="Planilha3"/>
  <dimension ref="A1:M48"/>
  <sheetViews>
    <sheetView workbookViewId="0">
      <selection activeCell="A2" sqref="A2"/>
    </sheetView>
  </sheetViews>
  <sheetFormatPr defaultRowHeight="14.6" x14ac:dyDescent="0.4"/>
  <cols>
    <col min="1" max="1" width="18.3828125" bestFit="1" customWidth="1"/>
    <col min="2" max="2" width="33.15234375" bestFit="1" customWidth="1"/>
    <col min="3" max="3" width="11.3828125" bestFit="1" customWidth="1"/>
    <col min="4" max="4" width="24.53515625" bestFit="1" customWidth="1"/>
    <col min="5" max="5" width="22" bestFit="1" customWidth="1"/>
    <col min="6" max="6" width="14.61328125" bestFit="1" customWidth="1"/>
    <col min="7" max="7" width="18.921875" bestFit="1" customWidth="1"/>
    <col min="13" max="13" width="23.07421875" bestFit="1" customWidth="1"/>
  </cols>
  <sheetData>
    <row r="1" spans="1:13" ht="20.6" x14ac:dyDescent="0.55000000000000004">
      <c r="A1" s="4" t="s">
        <v>43</v>
      </c>
      <c r="B1" s="4" t="s">
        <v>44</v>
      </c>
      <c r="C1" s="4" t="s">
        <v>45</v>
      </c>
      <c r="D1" s="4" t="s">
        <v>46</v>
      </c>
      <c r="E1" s="5" t="s">
        <v>47</v>
      </c>
      <c r="F1" s="6" t="s">
        <v>48</v>
      </c>
      <c r="G1" s="6" t="s">
        <v>49</v>
      </c>
    </row>
    <row r="2" spans="1:13" ht="20.6" x14ac:dyDescent="0.55000000000000004">
      <c r="A2" s="7" t="s">
        <v>50</v>
      </c>
      <c r="B2" s="7" t="s">
        <v>51</v>
      </c>
      <c r="C2" s="7" t="s">
        <v>52</v>
      </c>
      <c r="D2" s="7" t="s">
        <v>53</v>
      </c>
      <c r="E2" s="8" t="s">
        <v>54</v>
      </c>
      <c r="F2" s="9">
        <v>44851</v>
      </c>
      <c r="G2" s="10">
        <v>2</v>
      </c>
    </row>
    <row r="3" spans="1:13" ht="20.6" x14ac:dyDescent="0.55000000000000004">
      <c r="A3" s="7" t="s">
        <v>50</v>
      </c>
      <c r="B3" s="7" t="s">
        <v>51</v>
      </c>
      <c r="C3" s="7" t="s">
        <v>55</v>
      </c>
      <c r="D3" s="7" t="s">
        <v>56</v>
      </c>
      <c r="E3" s="8" t="s">
        <v>54</v>
      </c>
      <c r="F3" s="9">
        <v>44935</v>
      </c>
      <c r="G3" s="10">
        <v>1</v>
      </c>
    </row>
    <row r="4" spans="1:13" ht="20.6" x14ac:dyDescent="0.55000000000000004">
      <c r="A4" s="7" t="s">
        <v>60</v>
      </c>
      <c r="B4" s="7" t="s">
        <v>61</v>
      </c>
      <c r="C4" s="7" t="s">
        <v>57</v>
      </c>
      <c r="D4" s="7" t="s">
        <v>58</v>
      </c>
      <c r="E4" s="8" t="s">
        <v>62</v>
      </c>
      <c r="F4" s="9">
        <v>44837</v>
      </c>
      <c r="G4" s="10">
        <v>1</v>
      </c>
    </row>
    <row r="5" spans="1:13" ht="20.6" x14ac:dyDescent="0.55000000000000004">
      <c r="A5" s="7" t="s">
        <v>60</v>
      </c>
      <c r="B5" s="7" t="s">
        <v>61</v>
      </c>
      <c r="C5" s="7" t="s">
        <v>63</v>
      </c>
      <c r="D5" s="7" t="s">
        <v>64</v>
      </c>
      <c r="E5" s="8" t="s">
        <v>62</v>
      </c>
      <c r="F5" s="9">
        <v>44921</v>
      </c>
      <c r="G5" s="10">
        <v>12</v>
      </c>
    </row>
    <row r="6" spans="1:13" ht="20.6" x14ac:dyDescent="0.55000000000000004">
      <c r="A6" s="7" t="s">
        <v>60</v>
      </c>
      <c r="B6" s="7" t="s">
        <v>61</v>
      </c>
      <c r="C6" s="7" t="s">
        <v>65</v>
      </c>
      <c r="D6" s="7" t="s">
        <v>66</v>
      </c>
      <c r="E6" s="8" t="s">
        <v>67</v>
      </c>
      <c r="F6" s="9">
        <v>44990</v>
      </c>
      <c r="G6" s="10">
        <v>4</v>
      </c>
    </row>
    <row r="7" spans="1:13" ht="20.6" x14ac:dyDescent="0.55000000000000004">
      <c r="A7" s="7" t="s">
        <v>60</v>
      </c>
      <c r="B7" s="7" t="s">
        <v>61</v>
      </c>
      <c r="C7" s="7" t="s">
        <v>68</v>
      </c>
      <c r="D7" s="7" t="s">
        <v>69</v>
      </c>
      <c r="E7" s="8" t="s">
        <v>62</v>
      </c>
      <c r="F7" s="9">
        <v>45025</v>
      </c>
      <c r="G7" s="10">
        <v>1</v>
      </c>
    </row>
    <row r="8" spans="1:13" ht="20.6" x14ac:dyDescent="0.55000000000000004">
      <c r="A8" s="7" t="s">
        <v>60</v>
      </c>
      <c r="B8" s="7" t="s">
        <v>61</v>
      </c>
      <c r="C8" s="7" t="s">
        <v>52</v>
      </c>
      <c r="D8" s="7" t="s">
        <v>53</v>
      </c>
      <c r="E8" s="8" t="s">
        <v>54</v>
      </c>
      <c r="F8" s="9">
        <v>45060</v>
      </c>
      <c r="G8" s="10">
        <v>1</v>
      </c>
    </row>
    <row r="9" spans="1:13" ht="20.6" x14ac:dyDescent="0.55000000000000004">
      <c r="A9" s="7" t="s">
        <v>60</v>
      </c>
      <c r="B9" s="7" t="s">
        <v>61</v>
      </c>
      <c r="C9" s="7" t="s">
        <v>70</v>
      </c>
      <c r="D9" s="7" t="s">
        <v>71</v>
      </c>
      <c r="E9" s="8" t="s">
        <v>54</v>
      </c>
      <c r="F9" s="9">
        <v>45123</v>
      </c>
      <c r="G9" s="10">
        <v>4</v>
      </c>
    </row>
    <row r="10" spans="1:13" ht="20.6" x14ac:dyDescent="0.55000000000000004">
      <c r="A10" s="7" t="s">
        <v>74</v>
      </c>
      <c r="B10" s="7" t="s">
        <v>75</v>
      </c>
      <c r="C10" s="7" t="s">
        <v>70</v>
      </c>
      <c r="D10" s="7" t="s">
        <v>71</v>
      </c>
      <c r="E10" s="8" t="s">
        <v>59</v>
      </c>
      <c r="F10" s="9">
        <v>44823</v>
      </c>
      <c r="G10" s="10">
        <v>3</v>
      </c>
    </row>
    <row r="11" spans="1:13" ht="20.6" x14ac:dyDescent="0.55000000000000004">
      <c r="A11" s="7" t="s">
        <v>74</v>
      </c>
      <c r="B11" s="7" t="s">
        <v>75</v>
      </c>
      <c r="C11" s="7" t="s">
        <v>76</v>
      </c>
      <c r="D11" s="7" t="s">
        <v>77</v>
      </c>
      <c r="E11" s="8" t="s">
        <v>59</v>
      </c>
      <c r="F11" s="9">
        <v>44879</v>
      </c>
      <c r="G11" s="10">
        <v>9</v>
      </c>
    </row>
    <row r="12" spans="1:13" ht="20.6" x14ac:dyDescent="0.55000000000000004">
      <c r="A12" s="7" t="s">
        <v>74</v>
      </c>
      <c r="B12" s="7" t="s">
        <v>75</v>
      </c>
      <c r="C12" s="7" t="s">
        <v>9</v>
      </c>
      <c r="D12" s="7" t="s">
        <v>78</v>
      </c>
      <c r="E12" s="8" t="s">
        <v>79</v>
      </c>
      <c r="F12" s="9">
        <v>44893</v>
      </c>
      <c r="G12" s="10">
        <v>1</v>
      </c>
      <c r="M12" t="str" cm="1">
        <f t="array" ref="M12">Consolidar_Arquivos_Pasta_Turbo()</f>
        <v>Usuário cancelou a seleção</v>
      </c>
    </row>
    <row r="13" spans="1:13" ht="20.6" x14ac:dyDescent="0.55000000000000004">
      <c r="A13" s="7" t="s">
        <v>74</v>
      </c>
      <c r="B13" s="7" t="s">
        <v>75</v>
      </c>
      <c r="C13" s="7" t="s">
        <v>65</v>
      </c>
      <c r="D13" s="7" t="s">
        <v>66</v>
      </c>
      <c r="E13" s="8" t="s">
        <v>67</v>
      </c>
      <c r="F13" s="9">
        <v>44907</v>
      </c>
      <c r="G13" s="10">
        <v>3</v>
      </c>
    </row>
    <row r="14" spans="1:13" ht="20.6" x14ac:dyDescent="0.55000000000000004">
      <c r="A14" s="7" t="s">
        <v>74</v>
      </c>
      <c r="B14" s="7" t="s">
        <v>75</v>
      </c>
      <c r="C14" s="7" t="s">
        <v>76</v>
      </c>
      <c r="D14" s="7" t="s">
        <v>77</v>
      </c>
      <c r="E14" s="8" t="s">
        <v>62</v>
      </c>
      <c r="F14" s="9">
        <v>44963</v>
      </c>
      <c r="G14" s="10">
        <v>3</v>
      </c>
    </row>
    <row r="15" spans="1:13" ht="20.6" x14ac:dyDescent="0.55000000000000004">
      <c r="A15" s="7" t="s">
        <v>74</v>
      </c>
      <c r="B15" s="7" t="s">
        <v>75</v>
      </c>
      <c r="C15" s="7" t="s">
        <v>9</v>
      </c>
      <c r="D15" s="7" t="s">
        <v>78</v>
      </c>
      <c r="E15" s="8" t="s">
        <v>54</v>
      </c>
      <c r="F15" s="9">
        <v>44977</v>
      </c>
      <c r="G15" s="10">
        <v>2</v>
      </c>
    </row>
    <row r="16" spans="1:13" ht="20.6" x14ac:dyDescent="0.55000000000000004">
      <c r="A16" s="7" t="s">
        <v>74</v>
      </c>
      <c r="B16" s="7" t="s">
        <v>75</v>
      </c>
      <c r="C16" s="7" t="s">
        <v>72</v>
      </c>
      <c r="D16" s="7" t="s">
        <v>73</v>
      </c>
      <c r="E16" s="8" t="s">
        <v>59</v>
      </c>
      <c r="F16" s="9">
        <v>45011</v>
      </c>
      <c r="G16" s="10">
        <v>1</v>
      </c>
    </row>
    <row r="17" spans="1:7" ht="20.6" x14ac:dyDescent="0.55000000000000004">
      <c r="A17" s="7" t="s">
        <v>74</v>
      </c>
      <c r="B17" s="7" t="s">
        <v>75</v>
      </c>
      <c r="C17" s="7" t="s">
        <v>57</v>
      </c>
      <c r="D17" s="7" t="s">
        <v>58</v>
      </c>
      <c r="E17" s="8" t="s">
        <v>62</v>
      </c>
      <c r="F17" s="9">
        <v>45046</v>
      </c>
      <c r="G17" s="10">
        <v>1</v>
      </c>
    </row>
    <row r="18" spans="1:7" ht="20.6" x14ac:dyDescent="0.55000000000000004">
      <c r="A18" s="7" t="s">
        <v>74</v>
      </c>
      <c r="B18" s="7" t="s">
        <v>75</v>
      </c>
      <c r="C18" s="7" t="s">
        <v>80</v>
      </c>
      <c r="D18" s="7" t="s">
        <v>81</v>
      </c>
      <c r="E18" s="8" t="s">
        <v>59</v>
      </c>
      <c r="F18" s="9">
        <v>45074</v>
      </c>
      <c r="G18" s="10">
        <v>1</v>
      </c>
    </row>
    <row r="19" spans="1:7" ht="20.6" x14ac:dyDescent="0.55000000000000004">
      <c r="A19" s="7" t="s">
        <v>74</v>
      </c>
      <c r="B19" s="7" t="s">
        <v>75</v>
      </c>
      <c r="C19" s="7" t="s">
        <v>68</v>
      </c>
      <c r="D19" s="7" t="s">
        <v>69</v>
      </c>
      <c r="E19" s="8" t="s">
        <v>67</v>
      </c>
      <c r="F19" s="9">
        <v>45095</v>
      </c>
      <c r="G19" s="10">
        <v>1</v>
      </c>
    </row>
    <row r="20" spans="1:7" ht="20.6" x14ac:dyDescent="0.55000000000000004">
      <c r="A20" s="7" t="s">
        <v>74</v>
      </c>
      <c r="B20" s="7" t="s">
        <v>75</v>
      </c>
      <c r="C20" s="7" t="s">
        <v>76</v>
      </c>
      <c r="D20" s="7" t="s">
        <v>77</v>
      </c>
      <c r="E20" s="8" t="s">
        <v>62</v>
      </c>
      <c r="F20" s="9">
        <v>45109</v>
      </c>
      <c r="G20" s="10">
        <v>2</v>
      </c>
    </row>
    <row r="21" spans="1:7" ht="20.6" x14ac:dyDescent="0.55000000000000004">
      <c r="A21" s="7" t="s">
        <v>82</v>
      </c>
      <c r="B21" s="7" t="s">
        <v>83</v>
      </c>
      <c r="C21" s="7" t="s">
        <v>68</v>
      </c>
      <c r="D21" s="7" t="s">
        <v>69</v>
      </c>
      <c r="E21" s="8" t="s">
        <v>59</v>
      </c>
      <c r="F21" s="9">
        <v>44816</v>
      </c>
      <c r="G21" s="10">
        <v>1</v>
      </c>
    </row>
    <row r="22" spans="1:7" ht="20.6" x14ac:dyDescent="0.55000000000000004">
      <c r="A22" s="7" t="s">
        <v>82</v>
      </c>
      <c r="B22" s="7" t="s">
        <v>83</v>
      </c>
      <c r="C22" s="7" t="s">
        <v>70</v>
      </c>
      <c r="D22" s="7" t="s">
        <v>71</v>
      </c>
      <c r="E22" s="8" t="s">
        <v>54</v>
      </c>
      <c r="F22" s="9">
        <v>44872</v>
      </c>
      <c r="G22" s="10">
        <v>5</v>
      </c>
    </row>
    <row r="23" spans="1:7" ht="20.6" x14ac:dyDescent="0.55000000000000004">
      <c r="A23" s="7" t="s">
        <v>82</v>
      </c>
      <c r="B23" s="7" t="s">
        <v>83</v>
      </c>
      <c r="C23" s="7" t="s">
        <v>57</v>
      </c>
      <c r="D23" s="7" t="s">
        <v>58</v>
      </c>
      <c r="E23" s="8" t="s">
        <v>59</v>
      </c>
      <c r="F23" s="9">
        <v>44886</v>
      </c>
      <c r="G23" s="10">
        <v>1</v>
      </c>
    </row>
    <row r="24" spans="1:7" ht="20.6" x14ac:dyDescent="0.55000000000000004">
      <c r="A24" s="7" t="s">
        <v>82</v>
      </c>
      <c r="B24" s="7" t="s">
        <v>83</v>
      </c>
      <c r="C24" s="7" t="s">
        <v>52</v>
      </c>
      <c r="D24" s="7" t="s">
        <v>53</v>
      </c>
      <c r="E24" s="8" t="s">
        <v>62</v>
      </c>
      <c r="F24" s="9">
        <v>44900</v>
      </c>
      <c r="G24" s="10">
        <v>1</v>
      </c>
    </row>
    <row r="25" spans="1:7" ht="20.6" x14ac:dyDescent="0.55000000000000004">
      <c r="A25" s="7" t="s">
        <v>82</v>
      </c>
      <c r="B25" s="7" t="s">
        <v>83</v>
      </c>
      <c r="C25" s="7" t="s">
        <v>70</v>
      </c>
      <c r="D25" s="7" t="s">
        <v>71</v>
      </c>
      <c r="E25" s="8" t="s">
        <v>79</v>
      </c>
      <c r="F25" s="9">
        <v>44956</v>
      </c>
      <c r="G25" s="10">
        <v>1</v>
      </c>
    </row>
    <row r="26" spans="1:7" ht="20.6" x14ac:dyDescent="0.55000000000000004">
      <c r="A26" s="7" t="s">
        <v>82</v>
      </c>
      <c r="B26" s="7" t="s">
        <v>83</v>
      </c>
      <c r="C26" s="7" t="s">
        <v>57</v>
      </c>
      <c r="D26" s="7" t="s">
        <v>58</v>
      </c>
      <c r="E26" s="8" t="s">
        <v>67</v>
      </c>
      <c r="F26" s="9">
        <v>44970</v>
      </c>
      <c r="G26" s="10">
        <v>1</v>
      </c>
    </row>
    <row r="27" spans="1:7" ht="20.6" x14ac:dyDescent="0.55000000000000004">
      <c r="A27" s="7" t="s">
        <v>82</v>
      </c>
      <c r="B27" s="7" t="s">
        <v>83</v>
      </c>
      <c r="C27" s="7" t="s">
        <v>63</v>
      </c>
      <c r="D27" s="7" t="s">
        <v>64</v>
      </c>
      <c r="E27" s="8" t="s">
        <v>59</v>
      </c>
      <c r="F27" s="9">
        <v>45004</v>
      </c>
      <c r="G27" s="10">
        <v>2</v>
      </c>
    </row>
    <row r="28" spans="1:7" ht="20.6" x14ac:dyDescent="0.55000000000000004">
      <c r="A28" s="7" t="s">
        <v>82</v>
      </c>
      <c r="B28" s="7" t="s">
        <v>83</v>
      </c>
      <c r="C28" s="7" t="s">
        <v>76</v>
      </c>
      <c r="D28" s="7" t="s">
        <v>77</v>
      </c>
      <c r="E28" s="8" t="s">
        <v>54</v>
      </c>
      <c r="F28" s="9">
        <v>45039</v>
      </c>
      <c r="G28" s="10">
        <v>1</v>
      </c>
    </row>
    <row r="29" spans="1:7" ht="20.6" x14ac:dyDescent="0.55000000000000004">
      <c r="A29" s="7" t="s">
        <v>82</v>
      </c>
      <c r="B29" s="7" t="s">
        <v>83</v>
      </c>
      <c r="C29" s="7" t="s">
        <v>65</v>
      </c>
      <c r="D29" s="7" t="s">
        <v>66</v>
      </c>
      <c r="E29" s="8" t="s">
        <v>59</v>
      </c>
      <c r="F29" s="9">
        <v>45067</v>
      </c>
      <c r="G29" s="10">
        <v>4</v>
      </c>
    </row>
    <row r="30" spans="1:7" ht="20.6" x14ac:dyDescent="0.55000000000000004">
      <c r="A30" s="7" t="s">
        <v>82</v>
      </c>
      <c r="B30" s="7" t="s">
        <v>83</v>
      </c>
      <c r="C30" s="7" t="s">
        <v>72</v>
      </c>
      <c r="D30" s="7" t="s">
        <v>73</v>
      </c>
      <c r="E30" s="8" t="s">
        <v>62</v>
      </c>
      <c r="F30" s="9">
        <v>45088</v>
      </c>
      <c r="G30" s="10">
        <v>3</v>
      </c>
    </row>
    <row r="31" spans="1:7" ht="20.6" x14ac:dyDescent="0.55000000000000004">
      <c r="A31" s="7" t="s">
        <v>82</v>
      </c>
      <c r="B31" s="7" t="s">
        <v>83</v>
      </c>
      <c r="C31" s="7" t="s">
        <v>70</v>
      </c>
      <c r="D31" s="7" t="s">
        <v>71</v>
      </c>
      <c r="E31" s="8" t="s">
        <v>54</v>
      </c>
      <c r="F31" s="9">
        <v>45102</v>
      </c>
      <c r="G31" s="10">
        <v>1</v>
      </c>
    </row>
    <row r="32" spans="1:7" ht="20.6" x14ac:dyDescent="0.55000000000000004">
      <c r="A32" s="7" t="s">
        <v>84</v>
      </c>
      <c r="B32" s="7" t="s">
        <v>85</v>
      </c>
      <c r="C32" s="7" t="s">
        <v>76</v>
      </c>
      <c r="D32" s="7" t="s">
        <v>77</v>
      </c>
      <c r="E32" s="8" t="s">
        <v>79</v>
      </c>
      <c r="F32" s="9">
        <v>44830</v>
      </c>
      <c r="G32" s="10">
        <v>5</v>
      </c>
    </row>
    <row r="33" spans="1:7" ht="20.6" x14ac:dyDescent="0.55000000000000004">
      <c r="A33" s="7" t="s">
        <v>84</v>
      </c>
      <c r="B33" s="7" t="s">
        <v>85</v>
      </c>
      <c r="C33" s="7" t="s">
        <v>80</v>
      </c>
      <c r="D33" s="7" t="s">
        <v>81</v>
      </c>
      <c r="E33" s="8" t="s">
        <v>54</v>
      </c>
      <c r="F33" s="9">
        <v>44914</v>
      </c>
      <c r="G33" s="10">
        <v>1</v>
      </c>
    </row>
    <row r="34" spans="1:7" ht="20.6" x14ac:dyDescent="0.55000000000000004">
      <c r="A34" s="7" t="s">
        <v>84</v>
      </c>
      <c r="B34" s="7" t="s">
        <v>85</v>
      </c>
      <c r="C34" s="7" t="s">
        <v>52</v>
      </c>
      <c r="D34" s="7" t="s">
        <v>53</v>
      </c>
      <c r="E34" s="8" t="s">
        <v>62</v>
      </c>
      <c r="F34" s="9">
        <v>44984</v>
      </c>
      <c r="G34" s="10">
        <v>1</v>
      </c>
    </row>
    <row r="35" spans="1:7" ht="20.6" x14ac:dyDescent="0.55000000000000004">
      <c r="A35" s="7" t="s">
        <v>84</v>
      </c>
      <c r="B35" s="7" t="s">
        <v>85</v>
      </c>
      <c r="C35" s="7" t="s">
        <v>55</v>
      </c>
      <c r="D35" s="7" t="s">
        <v>56</v>
      </c>
      <c r="E35" s="8" t="s">
        <v>79</v>
      </c>
      <c r="F35" s="9">
        <v>45018</v>
      </c>
      <c r="G35" s="10">
        <v>9</v>
      </c>
    </row>
    <row r="36" spans="1:7" ht="20.6" x14ac:dyDescent="0.55000000000000004">
      <c r="A36" s="7" t="s">
        <v>84</v>
      </c>
      <c r="B36" s="7" t="s">
        <v>85</v>
      </c>
      <c r="C36" s="7" t="s">
        <v>9</v>
      </c>
      <c r="D36" s="7" t="s">
        <v>78</v>
      </c>
      <c r="E36" s="8" t="s">
        <v>67</v>
      </c>
      <c r="F36" s="9">
        <v>45053</v>
      </c>
      <c r="G36" s="10">
        <v>2</v>
      </c>
    </row>
    <row r="37" spans="1:7" ht="20.6" x14ac:dyDescent="0.55000000000000004">
      <c r="A37" s="7" t="s">
        <v>84</v>
      </c>
      <c r="B37" s="7" t="s">
        <v>85</v>
      </c>
      <c r="C37" s="7" t="s">
        <v>63</v>
      </c>
      <c r="D37" s="7" t="s">
        <v>64</v>
      </c>
      <c r="E37" s="8" t="s">
        <v>79</v>
      </c>
      <c r="F37" s="9">
        <v>45081</v>
      </c>
      <c r="G37" s="10">
        <v>1</v>
      </c>
    </row>
    <row r="38" spans="1:7" ht="20.6" x14ac:dyDescent="0.55000000000000004">
      <c r="A38" s="7" t="s">
        <v>84</v>
      </c>
      <c r="B38" s="7" t="s">
        <v>85</v>
      </c>
      <c r="C38" s="7" t="s">
        <v>68</v>
      </c>
      <c r="D38" s="7" t="s">
        <v>69</v>
      </c>
      <c r="E38" s="8" t="s">
        <v>67</v>
      </c>
      <c r="F38" s="9">
        <v>45116</v>
      </c>
      <c r="G38" s="10">
        <v>1</v>
      </c>
    </row>
    <row r="39" spans="1:7" ht="20.6" x14ac:dyDescent="0.55000000000000004">
      <c r="A39" s="7" t="s">
        <v>86</v>
      </c>
      <c r="B39" s="7" t="s">
        <v>87</v>
      </c>
      <c r="C39" s="7" t="s">
        <v>68</v>
      </c>
      <c r="D39" s="7" t="s">
        <v>69</v>
      </c>
      <c r="E39" s="8" t="s">
        <v>67</v>
      </c>
      <c r="F39" s="9">
        <v>44865</v>
      </c>
      <c r="G39" s="10">
        <v>1</v>
      </c>
    </row>
    <row r="40" spans="1:7" ht="20.6" x14ac:dyDescent="0.55000000000000004">
      <c r="A40" s="7" t="s">
        <v>86</v>
      </c>
      <c r="B40" s="7" t="s">
        <v>87</v>
      </c>
      <c r="C40" s="7" t="s">
        <v>68</v>
      </c>
      <c r="D40" s="7" t="s">
        <v>69</v>
      </c>
      <c r="E40" s="8" t="s">
        <v>59</v>
      </c>
      <c r="F40" s="9">
        <v>44949</v>
      </c>
      <c r="G40" s="10">
        <v>2</v>
      </c>
    </row>
    <row r="41" spans="1:7" ht="20.6" x14ac:dyDescent="0.55000000000000004">
      <c r="A41" s="7" t="s">
        <v>88</v>
      </c>
      <c r="B41" s="7" t="s">
        <v>89</v>
      </c>
      <c r="C41" s="7" t="s">
        <v>9</v>
      </c>
      <c r="D41" s="7" t="s">
        <v>78</v>
      </c>
      <c r="E41" s="8" t="s">
        <v>67</v>
      </c>
      <c r="F41" s="9">
        <v>44844</v>
      </c>
      <c r="G41" s="10">
        <v>4</v>
      </c>
    </row>
    <row r="42" spans="1:7" ht="20.6" x14ac:dyDescent="0.55000000000000004">
      <c r="A42" s="7" t="s">
        <v>88</v>
      </c>
      <c r="B42" s="7" t="s">
        <v>89</v>
      </c>
      <c r="C42" s="7" t="s">
        <v>72</v>
      </c>
      <c r="D42" s="7" t="s">
        <v>73</v>
      </c>
      <c r="E42" s="8" t="s">
        <v>67</v>
      </c>
      <c r="F42" s="9">
        <v>44928</v>
      </c>
      <c r="G42" s="10">
        <v>1</v>
      </c>
    </row>
    <row r="43" spans="1:7" ht="20.6" x14ac:dyDescent="0.55000000000000004">
      <c r="A43" s="7" t="s">
        <v>88</v>
      </c>
      <c r="B43" s="7" t="s">
        <v>89</v>
      </c>
      <c r="C43" s="7" t="s">
        <v>80</v>
      </c>
      <c r="D43" s="7" t="s">
        <v>81</v>
      </c>
      <c r="E43" s="8" t="s">
        <v>54</v>
      </c>
      <c r="F43" s="9">
        <v>44997</v>
      </c>
      <c r="G43" s="10">
        <v>1</v>
      </c>
    </row>
    <row r="44" spans="1:7" ht="20.6" x14ac:dyDescent="0.55000000000000004">
      <c r="A44" s="7" t="s">
        <v>88</v>
      </c>
      <c r="B44" s="7" t="s">
        <v>89</v>
      </c>
      <c r="C44" s="7" t="s">
        <v>70</v>
      </c>
      <c r="D44" s="7" t="s">
        <v>71</v>
      </c>
      <c r="E44" s="8" t="s">
        <v>67</v>
      </c>
      <c r="F44" s="9">
        <v>45032</v>
      </c>
      <c r="G44" s="10">
        <v>2</v>
      </c>
    </row>
    <row r="45" spans="1:7" ht="20.6" x14ac:dyDescent="0.55000000000000004">
      <c r="A45" s="7" t="s">
        <v>88</v>
      </c>
      <c r="B45" s="7" t="s">
        <v>89</v>
      </c>
      <c r="C45" s="7" t="s">
        <v>76</v>
      </c>
      <c r="D45" s="7" t="s">
        <v>77</v>
      </c>
      <c r="E45" s="8" t="s">
        <v>59</v>
      </c>
      <c r="F45" s="9">
        <v>45130</v>
      </c>
      <c r="G45" s="10">
        <v>1</v>
      </c>
    </row>
    <row r="46" spans="1:7" ht="20.6" x14ac:dyDescent="0.55000000000000004">
      <c r="A46" s="7" t="s">
        <v>90</v>
      </c>
      <c r="B46" s="7" t="s">
        <v>91</v>
      </c>
      <c r="C46" s="7" t="s">
        <v>65</v>
      </c>
      <c r="D46" s="7" t="s">
        <v>66</v>
      </c>
      <c r="E46" s="8" t="s">
        <v>62</v>
      </c>
      <c r="F46" s="9">
        <v>44858</v>
      </c>
      <c r="G46" s="10">
        <v>1</v>
      </c>
    </row>
    <row r="47" spans="1:7" ht="20.6" x14ac:dyDescent="0.55000000000000004">
      <c r="A47" s="7" t="s">
        <v>90</v>
      </c>
      <c r="B47" s="7" t="s">
        <v>91</v>
      </c>
      <c r="C47" s="7" t="s">
        <v>57</v>
      </c>
      <c r="D47" s="7" t="s">
        <v>58</v>
      </c>
      <c r="E47" s="8" t="s">
        <v>59</v>
      </c>
      <c r="F47" s="9">
        <v>44942</v>
      </c>
      <c r="G47" s="10">
        <v>1</v>
      </c>
    </row>
    <row r="48" spans="1:7" ht="20.6" x14ac:dyDescent="0.55000000000000004">
      <c r="A48" s="7" t="s">
        <v>90</v>
      </c>
      <c r="B48" s="7" t="s">
        <v>91</v>
      </c>
      <c r="C48" s="7" t="s">
        <v>9</v>
      </c>
      <c r="D48" s="7" t="s">
        <v>78</v>
      </c>
      <c r="E48" s="8" t="s">
        <v>79</v>
      </c>
      <c r="F48" s="9">
        <v>45144</v>
      </c>
      <c r="G48" s="10">
        <v>6</v>
      </c>
    </row>
  </sheetData>
  <autoFilter ref="A1:G48" xr:uid="{025BA3BE-53F1-4CCA-97BF-C751ED5367C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workbookViewId="0">
      <selection activeCell="C16" sqref="C16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338-8FB6-4361-8B87-C87CECD7E456}">
  <sheetPr codeName="Planilha4"/>
  <dimension ref="A1:I6"/>
  <sheetViews>
    <sheetView tabSelected="1" workbookViewId="0">
      <selection activeCell="I8" sqref="I8"/>
    </sheetView>
  </sheetViews>
  <sheetFormatPr defaultRowHeight="14.6" x14ac:dyDescent="0.4"/>
  <cols>
    <col min="1" max="1" width="8.53515625" bestFit="1" customWidth="1"/>
    <col min="2" max="2" width="14.61328125" bestFit="1" customWidth="1"/>
    <col min="3" max="3" width="11.765625" bestFit="1" customWidth="1"/>
    <col min="4" max="4" width="16.3828125" bestFit="1" customWidth="1"/>
    <col min="5" max="5" width="11.61328125" bestFit="1" customWidth="1"/>
    <col min="9" max="9" width="11.4609375" customWidth="1"/>
  </cols>
  <sheetData>
    <row r="1" spans="1:9" x14ac:dyDescent="0.4">
      <c r="A1" s="11" t="s">
        <v>43</v>
      </c>
      <c r="B1" s="11" t="s">
        <v>92</v>
      </c>
      <c r="C1" s="13" t="s">
        <v>93</v>
      </c>
      <c r="D1" s="13" t="s">
        <v>94</v>
      </c>
      <c r="E1" s="13" t="s">
        <v>95</v>
      </c>
    </row>
    <row r="2" spans="1:9" x14ac:dyDescent="0.4">
      <c r="A2" s="12" t="s">
        <v>96</v>
      </c>
      <c r="B2" s="12" t="s">
        <v>100</v>
      </c>
      <c r="C2" s="14">
        <v>148.56</v>
      </c>
      <c r="D2" s="14">
        <v>9</v>
      </c>
      <c r="E2" s="15">
        <f>C2*D2</f>
        <v>1337.04</v>
      </c>
    </row>
    <row r="3" spans="1:9" x14ac:dyDescent="0.4">
      <c r="A3" s="12" t="s">
        <v>97</v>
      </c>
      <c r="B3" s="12" t="s">
        <v>101</v>
      </c>
      <c r="C3" s="14">
        <v>59.9</v>
      </c>
      <c r="D3" s="14">
        <v>1</v>
      </c>
      <c r="E3" s="15">
        <f t="shared" ref="E3:E5" si="0">C3*D3</f>
        <v>59.9</v>
      </c>
      <c r="H3" t="s">
        <v>103</v>
      </c>
    </row>
    <row r="4" spans="1:9" x14ac:dyDescent="0.4">
      <c r="A4" s="12" t="s">
        <v>98</v>
      </c>
      <c r="B4" s="12" t="s">
        <v>102</v>
      </c>
      <c r="C4" s="14">
        <v>55.9</v>
      </c>
      <c r="D4" s="14">
        <v>3</v>
      </c>
      <c r="E4" s="15">
        <f t="shared" si="0"/>
        <v>167.7</v>
      </c>
      <c r="H4" t="s">
        <v>104</v>
      </c>
    </row>
    <row r="5" spans="1:9" x14ac:dyDescent="0.4">
      <c r="A5" s="12" t="s">
        <v>99</v>
      </c>
      <c r="B5" s="12" t="s">
        <v>101</v>
      </c>
      <c r="C5" s="14">
        <v>57.9</v>
      </c>
      <c r="D5" s="14">
        <v>3</v>
      </c>
      <c r="E5" s="15">
        <f t="shared" si="0"/>
        <v>173.7</v>
      </c>
      <c r="H5" t="s">
        <v>105</v>
      </c>
    </row>
    <row r="6" spans="1:9" x14ac:dyDescent="0.4">
      <c r="I6" t="str" cm="1">
        <f t="array" ref="I6">word_Turbo(A1:E5)</f>
        <v>=word_Turbo(A1:E5, "D:\Arquivos\Documentos\Udemy\EXCEL + POWER BI\Excel\Userform\Arquivos A12\Vendedor.docx")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Planilha1</vt:lpstr>
      <vt:lpstr>Consolidar Pasta Externa</vt:lpstr>
      <vt:lpstr>Consolidar</vt:lpstr>
      <vt:lpstr>Email</vt:lpstr>
      <vt:lpstr>Word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2025-02-05T06:00:17Z</dcterms:modified>
</cp:coreProperties>
</file>