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F8C96DC0-C8B5-41E0-986B-5B12E982773E}" xr6:coauthVersionLast="47" xr6:coauthVersionMax="47" xr10:uidLastSave="{00000000-0000-0000-0000-000000000000}"/>
  <bookViews>
    <workbookView minimized="1" xWindow="720" yWindow="4054" windowWidth="24686" windowHeight="13055" xr2:uid="{EDDAE825-BEE0-4ADC-8EB5-B57C3323A113}"/>
  </bookViews>
  <sheets>
    <sheet name="Principal" sheetId="2" r:id="rId1"/>
    <sheet name="Planilha1" sheetId="1" r:id="rId2"/>
    <sheet name="Perguntas" sheetId="3" r:id="rId3"/>
    <sheet name="EXT.TEXTO" sheetId="4" r:id="rId4"/>
    <sheet name="PROCV" sheetId="5" r:id="rId5"/>
    <sheet name="CONT.SE" sheetId="6" r:id="rId6"/>
    <sheet name="SOMASE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7" l="1"/>
  <c r="E14" i="7"/>
  <c r="E10" i="7"/>
  <c r="E6" i="7"/>
  <c r="E17" i="6"/>
  <c r="E14" i="6"/>
  <c r="E11" i="6"/>
  <c r="E8" i="6"/>
  <c r="E5" i="6"/>
  <c r="G7" i="5"/>
  <c r="G8" i="5"/>
  <c r="G9" i="5"/>
  <c r="G10" i="5"/>
  <c r="G11" i="5"/>
  <c r="G12" i="5"/>
  <c r="G13" i="5"/>
  <c r="G14" i="5"/>
  <c r="G15" i="5"/>
  <c r="G16" i="5"/>
  <c r="G17" i="5"/>
  <c r="G6" i="5"/>
  <c r="F7" i="5"/>
  <c r="F8" i="5"/>
  <c r="F9" i="5"/>
  <c r="F10" i="5"/>
  <c r="F11" i="5"/>
  <c r="F12" i="5"/>
  <c r="F13" i="5"/>
  <c r="F14" i="5"/>
  <c r="F15" i="5"/>
  <c r="F16" i="5"/>
  <c r="F17" i="5"/>
  <c r="F6" i="5"/>
  <c r="F12" i="4"/>
  <c r="E12" i="4"/>
  <c r="D12" i="4"/>
  <c r="C12" i="4"/>
  <c r="B12" i="4"/>
  <c r="F11" i="4"/>
  <c r="E11" i="4"/>
  <c r="D11" i="4"/>
  <c r="C11" i="4"/>
  <c r="B11" i="4"/>
  <c r="F10" i="4"/>
  <c r="E10" i="4"/>
  <c r="D10" i="4"/>
  <c r="C10" i="4"/>
  <c r="B10" i="4"/>
  <c r="F9" i="4"/>
  <c r="E9" i="4"/>
  <c r="D9" i="4"/>
  <c r="C9" i="4"/>
  <c r="B9" i="4"/>
  <c r="F8" i="4"/>
  <c r="E8" i="4"/>
  <c r="D8" i="4"/>
  <c r="C8" i="4"/>
  <c r="B8" i="4"/>
  <c r="F7" i="4"/>
  <c r="E7" i="4"/>
  <c r="D7" i="4"/>
  <c r="C7" i="4"/>
  <c r="B7" i="4"/>
  <c r="F6" i="4"/>
  <c r="E6" i="4"/>
  <c r="D6" i="4"/>
  <c r="C6" i="4"/>
  <c r="B6" i="4"/>
  <c r="F5" i="4"/>
  <c r="E5" i="4"/>
  <c r="D5" i="4"/>
  <c r="C5" i="4"/>
  <c r="B5" i="4"/>
</calcChain>
</file>

<file path=xl/sharedStrings.xml><?xml version="1.0" encoding="utf-8"?>
<sst xmlns="http://schemas.openxmlformats.org/spreadsheetml/2006/main" count="386" uniqueCount="218">
  <si>
    <t>Perguntas</t>
  </si>
  <si>
    <t>Respostas</t>
  </si>
  <si>
    <t>Chave</t>
  </si>
  <si>
    <t>PROCV</t>
  </si>
  <si>
    <t>A fórmula PROCV é utilizada para buscar um valor em uma tabela e retornar um resultado com base em uma correspondência exata ou aproximada. Ela é comumente usada para realizar pesquisas em grandes conjuntos de dados.</t>
  </si>
  <si>
    <t>PROCV?</t>
  </si>
  <si>
    <t>O que é a fórmula PROCV?</t>
  </si>
  <si>
    <t>O que faz a fórmula PROCV?</t>
  </si>
  <si>
    <t>Me explique sobre PROCV?</t>
  </si>
  <si>
    <t>Como funciona o PROCV?</t>
  </si>
  <si>
    <t>Fale sobre PROCV</t>
  </si>
  <si>
    <t>Agora fale sobre PROCV</t>
  </si>
  <si>
    <t>CONT.SE</t>
  </si>
  <si>
    <t>A fórmula CONT.SE conta o número de células que atendem a um critério específico em um intervalo. Ela é útil para contar ocorrências que correspondem a um valor ou condição.</t>
  </si>
  <si>
    <t>CONT.SE?</t>
  </si>
  <si>
    <t>O que é a fórmula CONT.SE</t>
  </si>
  <si>
    <t>O que faz a fórmula CONT.SE?</t>
  </si>
  <si>
    <t>Me explique sobre CONT.SE?</t>
  </si>
  <si>
    <t>Como funciona o CONT.SE?</t>
  </si>
  <si>
    <t>Fale sobre CONT.SE?</t>
  </si>
  <si>
    <t>Agora fale sobre o CONT.SE</t>
  </si>
  <si>
    <t>SOMASE</t>
  </si>
  <si>
    <t>A função SOMASE é útil para realizar a soma de células que atendem a um critério específico. Ela é essencialmente uma combinação das funções de soma e de filtragem, permitindo que você some valores em um intervalo com base em um critério condicional.</t>
  </si>
  <si>
    <t>SOMASE?</t>
  </si>
  <si>
    <t>O que é a fórmula SOMASE</t>
  </si>
  <si>
    <t>O que faz a fórmula SOMASE?</t>
  </si>
  <si>
    <t>Me explique sobre SOMASE?</t>
  </si>
  <si>
    <t>Como funciona o SOMASE?</t>
  </si>
  <si>
    <t>Fale sobre SOMASE</t>
  </si>
  <si>
    <t>Agora fale sobre o SOMASE</t>
  </si>
  <si>
    <t>EXT.TEXTO</t>
  </si>
  <si>
    <t>EXT.TEXTO é uma abreviação de "Extrair Texto" em português (equivalente a MID em inglês). Ela permite que você extraia uma sequência de caracteres de dentro de uma string de texto com base em uma posição de início e um número especificado de caracteres.</t>
  </si>
  <si>
    <t>EXT.TEXTO?</t>
  </si>
  <si>
    <t>O que é a fórmula EXT.TEXTO</t>
  </si>
  <si>
    <t>O que faz a fórmula EXT.TEXTO?</t>
  </si>
  <si>
    <t>Me explique sobre EXT.TEXTO?</t>
  </si>
  <si>
    <t>Como funciona o EXT.TEXTO?</t>
  </si>
  <si>
    <t>Fale sobre EXT.TEXTO</t>
  </si>
  <si>
    <t>Agora fale sobre o EXT.TEXTO</t>
  </si>
  <si>
    <t>Qual é o maior oceano da Terra?</t>
  </si>
  <si>
    <t>O Oceano Pacífico é o maior oceano da Terra, cobrindo mais de 63 milhões de milhas quadradas.</t>
  </si>
  <si>
    <t>Curiosidades</t>
  </si>
  <si>
    <t>Qual é o ponto mais alto da Terra?</t>
  </si>
  <si>
    <t>O Monte Everest é o ponto mais alto da Terra, com 8.848 metros acima do nível do mar.</t>
  </si>
  <si>
    <t>Existem 195 países reconhecidos na Terra.</t>
  </si>
  <si>
    <t>Qual é o rio mais longo do mundo?</t>
  </si>
  <si>
    <t>O Rio Amazonas é frequentemente considerado o mais longo, mas alguns acreditam que seja o Nilo.</t>
  </si>
  <si>
    <t>Qual é o deserto mais quente do mundo?</t>
  </si>
  <si>
    <t>O Deserto do Saara é o mais quente, com temperaturas registradas acima de 50°C.</t>
  </si>
  <si>
    <t>Onde está localizada a maior floresta tropical?</t>
  </si>
  <si>
    <t>A maior floresta tropical está na Bacia Amazônica, na América do Sul.</t>
  </si>
  <si>
    <t>Qual é a maior barreira de corais do mundo?</t>
  </si>
  <si>
    <t>A Grande Barreira de Corais, na Austrália, é a maior, estendendo-se por cerca de 2.300 quilômetros.</t>
  </si>
  <si>
    <t>Qual é o animal mais rápido do mundo?</t>
  </si>
  <si>
    <t>O falcão-peregrino é o mais rápido, podendo atingir velocidades superiores a 320 km/h em mergulho.</t>
  </si>
  <si>
    <t>Qual é o mamífero mais pesado da Terra?</t>
  </si>
  <si>
    <t>A baleia-azul é o mamífero mais pesado, podendo pesar até 200 toneladas.</t>
  </si>
  <si>
    <t>Qual é o país mais populoso do mundo?</t>
  </si>
  <si>
    <t>A China é o país mais populoso, com mais de 1,4 bilhão de habitantes.</t>
  </si>
  <si>
    <t>Qual é o lugar mais frio da Terra?</t>
  </si>
  <si>
    <t>A Antártica é o lugar mais frio, com temperaturas chegando a -89,2°C na Estação Vostok.</t>
  </si>
  <si>
    <t>Qual é a cidade mais antiga habitada continuamente?</t>
  </si>
  <si>
    <t>Damasco, na Síria, é frequentemente citada como a mais antiga, habitada desde o milênio IV a.C.</t>
  </si>
  <si>
    <t>Qual é a maior ilha do mundo?</t>
  </si>
  <si>
    <t>A Groenlândia é a maior ilha do mundo, com uma área de 2,16 milhões de quilômetros quadrados.</t>
  </si>
  <si>
    <t>Quantos oceanos existem no planeta?</t>
  </si>
  <si>
    <t>Existem cinco oceanos principais: Pacífico, Atlântico, Índico, Antártico e Ártico.</t>
  </si>
  <si>
    <t>Qual é a língua mais falada no mundo?</t>
  </si>
  <si>
    <t>O mandarim é a língua mais falada no mundo por número de falantes nativos.</t>
  </si>
  <si>
    <t>Qual é a planta mais alta do mundo?</t>
  </si>
  <si>
    <t>A Sequoia sempervirens (sequoia-vermelha) é a planta mais alta, com exemplares ultrapassando 100 metros.</t>
  </si>
  <si>
    <t>Qual é a maior cachoeira do mundo?</t>
  </si>
  <si>
    <t>A maior em altura é o Salto Angel, na Venezuela, com 979 metros de altura.</t>
  </si>
  <si>
    <t>Qual é o lago mais profundo do mundo?</t>
  </si>
  <si>
    <t>O Lago Baikal, na Rússia, é o mais profundo, com cerca de 1.642 metros de profundidade.</t>
  </si>
  <si>
    <t>Qual é o período mais longo sem chuva registrado?</t>
  </si>
  <si>
    <t>Arica, no Chile, teve um período de 173 meses sem chuva, de 1903 a 1918.</t>
  </si>
  <si>
    <t>Qual é a maior cidade do mundo em área territorial?</t>
  </si>
  <si>
    <t>Hulunbuir, na Mongólia Interior, China, é a maior em área, com cerca de 263.953 km².</t>
  </si>
  <si>
    <t>Registro</t>
  </si>
  <si>
    <t>Pergunta</t>
  </si>
  <si>
    <t>Resposta</t>
  </si>
  <si>
    <t>Qual o maior país do mundo</t>
  </si>
  <si>
    <t>O número de países no mundo pode variar entre 193 e 211, dependendo dos critérios utilizados e da fonte consultada.</t>
  </si>
  <si>
    <t>Quantos países existem no mundo?</t>
  </si>
  <si>
    <t>quantos países mundo</t>
  </si>
  <si>
    <t>procv</t>
  </si>
  <si>
    <t>multiplique 75 com 13</t>
  </si>
  <si>
    <t>o resultado da operação é: 975</t>
  </si>
  <si>
    <t>calculo</t>
  </si>
  <si>
    <t xml:space="preserve">     EXT.TEXTO / MID</t>
  </si>
  <si>
    <t>CPF</t>
  </si>
  <si>
    <t>Formula 1</t>
  </si>
  <si>
    <t>Formula 2</t>
  </si>
  <si>
    <t>Formula 3</t>
  </si>
  <si>
    <t>Formula 4</t>
  </si>
  <si>
    <t>Todas juntas</t>
  </si>
  <si>
    <t>983.456.abc-10</t>
  </si>
  <si>
    <t>123.456.789-11</t>
  </si>
  <si>
    <t>123.416.789-12</t>
  </si>
  <si>
    <t>123.456.aa9-13</t>
  </si>
  <si>
    <t>123.456.789-14</t>
  </si>
  <si>
    <t>123.456.789-15</t>
  </si>
  <si>
    <t>123.456.789-16</t>
  </si>
  <si>
    <t>123.456.789-17</t>
  </si>
  <si>
    <r>
      <t xml:space="preserve">A função </t>
    </r>
    <r>
      <rPr>
        <sz val="14"/>
        <color theme="1"/>
        <rFont val="Arial Unicode MS"/>
      </rPr>
      <t>EXT.TEXTO</t>
    </r>
    <r>
      <rPr>
        <sz val="14"/>
        <color theme="1"/>
        <rFont val="Aptos Narrow"/>
        <family val="2"/>
        <scheme val="minor"/>
      </rPr>
      <t xml:space="preserve"> no Excel é uma ferramenta valiosa para extrair um subconjunto específico de caracteres de uma string de texto. Essa função é especialmente útil quando você precisa manipular e extrair partes de textos que estão em células, como nomes, códigos, ou outras informações formatadas de maneira padrão.</t>
    </r>
  </si>
  <si>
    <t>O Que é EXT.TEXTO?</t>
  </si>
  <si>
    <t>Sintaxe da Função EXT.TEXTO:</t>
  </si>
  <si>
    <t>A função EXT.TEXTO tem a seguinte sintaxe:</t>
  </si>
  <si>
    <t>=EXT.TEXTO(texto; início; [núm_caract])</t>
  </si>
  <si>
    <r>
      <t>1. texto</t>
    </r>
    <r>
      <rPr>
        <sz val="14"/>
        <color theme="1"/>
        <rFont val="Aptos Narrow"/>
        <family val="2"/>
        <scheme val="minor"/>
      </rPr>
      <t>: A string de texto da qual você deseja extrair caracteres.</t>
    </r>
  </si>
  <si>
    <r>
      <t xml:space="preserve">  2. início</t>
    </r>
    <r>
      <rPr>
        <sz val="14"/>
        <color theme="1"/>
        <rFont val="Aptos Narrow"/>
        <family val="2"/>
        <scheme val="minor"/>
      </rPr>
      <t>: A posição do primeiro caractere que você deseja extrair. A contagem começa em 1, o que significa que se você colocar 1 como valor, a função começará a extrair desde o primeiro caractere da string.</t>
    </r>
  </si>
  <si>
    <r>
      <t xml:space="preserve">  3. núm_caract</t>
    </r>
    <r>
      <rPr>
        <sz val="14"/>
        <color theme="1"/>
        <rFont val="Aptos Narrow"/>
        <family val="2"/>
        <scheme val="minor"/>
      </rPr>
      <t xml:space="preserve"> (opcional): O número de caracteres a serem extraídos a partir da posição de início. Se este parâmetro for omitido, a função extrairá todos os caracteres até o final da string.</t>
    </r>
  </si>
  <si>
    <t>Exemplo de Uso:</t>
  </si>
  <si>
    <t>Vamos considerar um exemplo prático. Suponha que você tenha uma célula (A1) com o texto "Clevis2024" e deseja extrair apenas o ano, que são os últimos 4 caracteres.</t>
  </si>
  <si>
    <r>
      <t xml:space="preserve">Você usaria a fórmula </t>
    </r>
    <r>
      <rPr>
        <sz val="14"/>
        <color theme="1"/>
        <rFont val="Arial Unicode MS"/>
      </rPr>
      <t>=EXT.TEXTO(A1; 6; 4)</t>
    </r>
    <r>
      <rPr>
        <sz val="14"/>
        <color theme="1"/>
        <rFont val="Aptos Narrow"/>
        <family val="2"/>
        <scheme val="minor"/>
      </rPr>
      <t>. Isso instrui o Excel a começar a extrair do sexto caractere de "Clevis2024" e pegar os próximos 4 caracteres. O resultado seria "2024".</t>
    </r>
  </si>
  <si>
    <t>Considerações Importantes:</t>
  </si>
  <si>
    <t>A função EXT.TEXTO é extremamente útil para manipular dados de texto, especialmente em situações onde os dados têm um formato consistente.</t>
  </si>
  <si>
    <t>É importante entender a posição dos caracteres na string para usar a função efetivamente. A contagem inicia a partir de 1.</t>
  </si>
  <si>
    <t>A função é versátil e pode ser combinada com outras funções de texto para realizar manipulações mais complexas.</t>
  </si>
  <si>
    <t>Em cenários onde o texto não tem um formato consistente, outras funções como PROCURAR, ESQUERDA ou DIREITA podem ser mais adequadas.</t>
  </si>
  <si>
    <t>Em suma, a função EXT.TEXTO é uma ferramenta poderosa no Excel para extrair partes específicas de strings de texto, sendo amplamente utilizada em diversas aplicações que envolvem o processamento e a análise de dados de texto.</t>
  </si>
  <si>
    <t>ext.texto</t>
  </si>
  <si>
    <t>Nome</t>
  </si>
  <si>
    <t>Salário</t>
  </si>
  <si>
    <t>123.456.789-10</t>
  </si>
  <si>
    <t>Bruna Alves</t>
  </si>
  <si>
    <t>Afonso Alves</t>
  </si>
  <si>
    <t>123.456.789-12</t>
  </si>
  <si>
    <t>Caroline Gois Abreu</t>
  </si>
  <si>
    <t>123.456.789-13</t>
  </si>
  <si>
    <t>Henrique Oliveira Silva</t>
  </si>
  <si>
    <t>Kaliane Almeida Abreu</t>
  </si>
  <si>
    <t>Ryan Merryman</t>
  </si>
  <si>
    <t>Robson Martins</t>
  </si>
  <si>
    <t>Thiago Santana Gomes</t>
  </si>
  <si>
    <t>123.456.789-18</t>
  </si>
  <si>
    <t>Erika Souza Aguiar</t>
  </si>
  <si>
    <t>123.456.789-19</t>
  </si>
  <si>
    <t>Felipe Borges Aguiar</t>
  </si>
  <si>
    <t>123.456.789-20</t>
  </si>
  <si>
    <t>Tiago de Oliveira</t>
  </si>
  <si>
    <t>123.456.789-21</t>
  </si>
  <si>
    <t>Frederico Rubens</t>
  </si>
  <si>
    <t>O Que é PROCV?</t>
  </si>
  <si>
    <t>PROCV significa "Procura Vertical" em português (equivalente a VLOOKUP em inglês). Esta função é usada para procurar um valor específico em uma coluna (a primeira coluna de um intervalo especificado) e retornar um valor em uma linha correspondente de outra coluna no mesmo intervalo.</t>
  </si>
  <si>
    <t>Sintaxe da Função PROCV:</t>
  </si>
  <si>
    <t>A função PROCV tem a seguinte sintaxe:</t>
  </si>
  <si>
    <t>=PROCV(valor_procurado; intervalo_tabela; num_índice_coluna; [procurar_intervalo])</t>
  </si>
  <si>
    <r>
      <t>1. valor_procurado</t>
    </r>
    <r>
      <rPr>
        <sz val="16"/>
        <color theme="1"/>
        <rFont val="Aptos Narrow"/>
        <family val="2"/>
        <scheme val="minor"/>
      </rPr>
      <t>: O valor que você deseja procurar. Este é o valor que o PROCV buscará na primeira coluna do intervalo de células especificado.</t>
    </r>
  </si>
  <si>
    <r>
      <t>2. intervalo_tabela</t>
    </r>
    <r>
      <rPr>
        <sz val="16"/>
        <color theme="1"/>
        <rFont val="Aptos Narrow"/>
        <family val="2"/>
        <scheme val="minor"/>
      </rPr>
      <t>: O intervalo de células que contém os dados. O valor que você está procurando deve estar na primeira coluna deste intervalo.</t>
    </r>
  </si>
  <si>
    <r>
      <t>3. num_índice_coluna</t>
    </r>
    <r>
      <rPr>
        <sz val="16"/>
        <color theme="1"/>
        <rFont val="Aptos Narrow"/>
        <family val="2"/>
        <scheme val="minor"/>
      </rPr>
      <t>: O número da coluna no intervalo de células que contém o valor de retorno. Por exemplo, 1 para a primeira coluna, 2 para a segunda coluna, e assim por diante.</t>
    </r>
  </si>
  <si>
    <r>
      <t>4. procurar_intervalo</t>
    </r>
    <r>
      <rPr>
        <sz val="16"/>
        <color theme="1"/>
        <rFont val="Aptos Narrow"/>
        <family val="2"/>
        <scheme val="minor"/>
      </rPr>
      <t>: Este é um argumento opcional que aceita dois valores - VERDADEIRO (ou 1) e FALSO (ou 0). Quando definido como VERDADEIRO ou omitido, o PROCV busca por uma correspondência aproximada. Quando definido como FALSO, busca por uma correspondência exata.</t>
    </r>
  </si>
  <si>
    <r>
      <t>1. valor_procurado</t>
    </r>
    <r>
      <rPr>
        <sz val="16"/>
        <color theme="1"/>
        <rFont val="Aptos Narrow"/>
        <family val="2"/>
        <scheme val="minor"/>
      </rPr>
      <t xml:space="preserve">: </t>
    </r>
    <r>
      <rPr>
        <sz val="16"/>
        <color theme="1"/>
        <rFont val="Arial Unicode MS"/>
      </rPr>
      <t>F6</t>
    </r>
    <r>
      <rPr>
        <sz val="16"/>
        <color theme="1"/>
        <rFont val="Aptos Narrow"/>
        <family val="2"/>
        <scheme val="minor"/>
      </rPr>
      <t>. Esta é a célula que contém o valor que você deseja procurar.</t>
    </r>
  </si>
  <si>
    <r>
      <t>3. num_índice_coluna</t>
    </r>
    <r>
      <rPr>
        <sz val="16"/>
        <color theme="1"/>
        <rFont val="Aptos Narrow"/>
        <family val="2"/>
        <scheme val="minor"/>
      </rPr>
      <t xml:space="preserve">: </t>
    </r>
    <r>
      <rPr>
        <sz val="16"/>
        <color theme="1"/>
        <rFont val="Arial Unicode MS"/>
      </rPr>
      <t>2</t>
    </r>
    <r>
      <rPr>
        <sz val="16"/>
        <color theme="1"/>
        <rFont val="Aptos Narrow"/>
        <family val="2"/>
        <scheme val="minor"/>
      </rPr>
      <t>. Isso indica que o valor de retorno será da segunda coluna do intervalo de células especificado.</t>
    </r>
  </si>
  <si>
    <r>
      <t>4. procurar_intervalo</t>
    </r>
    <r>
      <rPr>
        <sz val="16"/>
        <color theme="1"/>
        <rFont val="Aptos Narrow"/>
        <family val="2"/>
        <scheme val="minor"/>
      </rPr>
      <t xml:space="preserve">: </t>
    </r>
    <r>
      <rPr>
        <sz val="16"/>
        <color theme="1"/>
        <rFont val="Arial Unicode MS"/>
      </rPr>
      <t>0</t>
    </r>
    <r>
      <rPr>
        <sz val="16"/>
        <color theme="1"/>
        <rFont val="Aptos Narrow"/>
        <family val="2"/>
        <scheme val="minor"/>
      </rPr>
      <t>. Isso indica que a fórmula deve buscar uma correspondência exata para o valor na célula F6.</t>
    </r>
  </si>
  <si>
    <t>Exemplo Prático:</t>
  </si>
  <si>
    <t>Considerações Importantes</t>
  </si>
  <si>
    <t>O PROCV só procura da esquerda para a direita. O valor procurado deve estar na primeira coluna do intervalo de pesquisa.</t>
  </si>
  <si>
    <r>
      <t xml:space="preserve">Se o argumento </t>
    </r>
    <r>
      <rPr>
        <sz val="16"/>
        <color theme="1"/>
        <rFont val="Arial Unicode MS"/>
      </rPr>
      <t>procurar_intervalo</t>
    </r>
    <r>
      <rPr>
        <sz val="16"/>
        <color theme="1"/>
        <rFont val="Aptos Narrow"/>
        <family val="2"/>
        <scheme val="minor"/>
      </rPr>
      <t xml:space="preserve"> for definido como 0 ou FALSO, e não for encontrada uma correspondência exata, a função retornará um erro #N/D (valor não disponível).</t>
    </r>
  </si>
  <si>
    <t>O uso de referências absolutas (como $B$5) é crucial em cenários onde você não quer que a referência de célula mude ao copiar a fórmula.</t>
  </si>
  <si>
    <t>O PROCV é uma ferramenta extremamente útil para encontrar rapidamente informações em grandes conjuntos de dados, tornando-se indispensável para muitos usuários do Excel em diversas aplicações.</t>
  </si>
  <si>
    <r>
      <t xml:space="preserve">A função PROCV é uma das funções mais úteis e poderosas no Excel, usada para buscar dados em uma tabela ou um intervalo por linha. Vamos analisar em detalhes o que é o PROCV e como funciona a fórmula </t>
    </r>
    <r>
      <rPr>
        <sz val="16"/>
        <color theme="1"/>
        <rFont val="Arial Unicode MS"/>
      </rPr>
      <t>=PROCV(E7;$A$5:$C$17;2;0)</t>
    </r>
    <r>
      <rPr>
        <sz val="16"/>
        <color theme="1"/>
        <rFont val="Aptos Narrow"/>
        <family val="2"/>
        <scheme val="minor"/>
      </rPr>
      <t>.</t>
    </r>
  </si>
  <si>
    <r>
      <t xml:space="preserve">Análise da Fórmula </t>
    </r>
    <r>
      <rPr>
        <b/>
        <sz val="16"/>
        <color theme="1"/>
        <rFont val="Arial Unicode MS"/>
      </rPr>
      <t>=PROCV(E7;$A$5:$C$17;2;0)</t>
    </r>
  </si>
  <si>
    <r>
      <t xml:space="preserve">Vamos decompor a fórmula </t>
    </r>
    <r>
      <rPr>
        <sz val="16"/>
        <color theme="1"/>
        <rFont val="Arial Unicode MS"/>
      </rPr>
      <t>=PROCV(E7;$A$5:$C$17;2;0)</t>
    </r>
    <r>
      <rPr>
        <sz val="16"/>
        <color theme="1"/>
        <rFont val="Aptos Narrow"/>
        <family val="2"/>
        <scheme val="minor"/>
      </rPr>
      <t>:</t>
    </r>
  </si>
  <si>
    <r>
      <t>2. intervalo_tabela</t>
    </r>
    <r>
      <rPr>
        <sz val="16"/>
        <color theme="1"/>
        <rFont val="Aptos Narrow"/>
        <family val="2"/>
        <scheme val="minor"/>
      </rPr>
      <t xml:space="preserve">: </t>
    </r>
    <r>
      <rPr>
        <sz val="16"/>
        <color theme="1"/>
        <rFont val="Arial Unicode MS"/>
      </rPr>
      <t>$A$5:$C$17</t>
    </r>
    <r>
      <rPr>
        <sz val="16"/>
        <color theme="1"/>
        <rFont val="Aptos Narrow"/>
        <family val="2"/>
        <scheme val="minor"/>
      </rPr>
      <t>. Este é o intervalo de células onde o PROCV procurará o valor. O uso do cifrão ($) indica que é uma referência absoluta, o que significa que, se você copiar a fórmula para outra célula, o intervalo de células referenciado não mudará.</t>
    </r>
  </si>
  <si>
    <r>
      <t xml:space="preserve">Suponha que você tenha uma tabela no intervalo de B5 a D17, onde a primeira coluna (B) tem nomes de produtos, a segunda coluna (C) tem preços e a terceira coluna (D) tem quantidades. Se você quiser procurar o preço de um produto cujo nome está em F6, você usaria a fórmula </t>
    </r>
    <r>
      <rPr>
        <sz val="16"/>
        <color theme="1"/>
        <rFont val="Arial Unicode MS"/>
      </rPr>
      <t>=PROCV(E7;$A$5:$C$17;2;0)</t>
    </r>
    <r>
      <rPr>
        <sz val="16"/>
        <color theme="1"/>
        <rFont val="Aptos Narrow"/>
        <family val="2"/>
        <scheme val="minor"/>
      </rPr>
      <t>. Ela procurará o nome do produto em F6 na primeira coluna da tabela (B5:B17) e retornará o valor correspondente da segunda coluna (C5:C17), que é o preço.</t>
    </r>
  </si>
  <si>
    <t>CONT.SE / COUNTIF</t>
  </si>
  <si>
    <t>Idade</t>
  </si>
  <si>
    <t>1) Quantas pessoas tem 30 anos</t>
  </si>
  <si>
    <t>2) Quantas pessoas tem menos de 30 anos</t>
  </si>
  <si>
    <t>3) Quantas pessoas não tem 30 anos</t>
  </si>
  <si>
    <t>4) Contar células vazias</t>
  </si>
  <si>
    <t>5) Contar células não vazias</t>
  </si>
  <si>
    <r>
      <t xml:space="preserve">A função </t>
    </r>
    <r>
      <rPr>
        <sz val="16"/>
        <color theme="1"/>
        <rFont val="Arial Unicode MS"/>
      </rPr>
      <t>CONT.SE</t>
    </r>
    <r>
      <rPr>
        <sz val="16"/>
        <color theme="1"/>
        <rFont val="Aptos Narrow"/>
        <family val="2"/>
        <scheme val="minor"/>
      </rPr>
      <t xml:space="preserve"> no Excel é uma ferramenta muito útil para contar o número de células que satisfazem um determinado critério. Vamos detalhar o que esta função faz e como funciona a fórmula </t>
    </r>
    <r>
      <rPr>
        <sz val="16"/>
        <color theme="1"/>
        <rFont val="Arial Unicode MS"/>
      </rPr>
      <t>=CONT.SE(C5:C16;"30")</t>
    </r>
    <r>
      <rPr>
        <sz val="16"/>
        <color theme="1"/>
        <rFont val="Aptos Narrow"/>
        <family val="2"/>
        <scheme val="minor"/>
      </rPr>
      <t>.</t>
    </r>
  </si>
  <si>
    <t>O Que é CONT.SE?</t>
  </si>
  <si>
    <t>CONT.SE é uma abreviação de "Contar Se" em português (equivalente a COUNTIF em inglês). Esta função é usada para contar o número de células dentro de um intervalo que atendem a um critério específico.</t>
  </si>
  <si>
    <t>Sintaxe da Função CONT.SE:</t>
  </si>
  <si>
    <t>A função CONT.SE tem a seguinte sintaxe:</t>
  </si>
  <si>
    <t>=CONT.SE(intervalo; critério)</t>
  </si>
  <si>
    <r>
      <t>1. intervalo</t>
    </r>
    <r>
      <rPr>
        <sz val="16"/>
        <color theme="1"/>
        <rFont val="Aptos Narrow"/>
        <family val="2"/>
        <scheme val="minor"/>
      </rPr>
      <t>: O conjunto de células que você deseja contar.</t>
    </r>
  </si>
  <si>
    <r>
      <t>2. critério</t>
    </r>
    <r>
      <rPr>
        <sz val="16"/>
        <color theme="1"/>
        <rFont val="Aptos Narrow"/>
        <family val="2"/>
        <scheme val="minor"/>
      </rPr>
      <t>: O critério que as células devem atender para serem contadas. Pode ser um número, texto, expressão ou até mesmo outra função.</t>
    </r>
  </si>
  <si>
    <r>
      <t xml:space="preserve">Análise da Fórmula </t>
    </r>
    <r>
      <rPr>
        <b/>
        <sz val="16"/>
        <color theme="1"/>
        <rFont val="Arial Unicode MS"/>
      </rPr>
      <t>=CONT.SE(C5:C16;"30")</t>
    </r>
  </si>
  <si>
    <r>
      <t xml:space="preserve">Vamos analisar a fórmula </t>
    </r>
    <r>
      <rPr>
        <sz val="16"/>
        <color theme="1"/>
        <rFont val="Arial Unicode MS"/>
      </rPr>
      <t>=CONT.SE(C5:C16;"30")</t>
    </r>
    <r>
      <rPr>
        <sz val="16"/>
        <color theme="1"/>
        <rFont val="Aptos Narrow"/>
        <family val="2"/>
        <scheme val="minor"/>
      </rPr>
      <t>:</t>
    </r>
  </si>
  <si>
    <r>
      <t>1. intervalo</t>
    </r>
    <r>
      <rPr>
        <sz val="16"/>
        <color theme="1"/>
        <rFont val="Aptos Narrow"/>
        <family val="2"/>
        <scheme val="minor"/>
      </rPr>
      <t xml:space="preserve">: </t>
    </r>
    <r>
      <rPr>
        <sz val="16"/>
        <color theme="1"/>
        <rFont val="Arial Unicode MS"/>
      </rPr>
      <t>C5:C16</t>
    </r>
    <r>
      <rPr>
        <sz val="16"/>
        <color theme="1"/>
        <rFont val="Aptos Narrow"/>
        <family val="2"/>
        <scheme val="minor"/>
      </rPr>
      <t>. Este é o intervalo de células que será avaliado pela função.</t>
    </r>
  </si>
  <si>
    <r>
      <t xml:space="preserve">  2. critério</t>
    </r>
    <r>
      <rPr>
        <sz val="16"/>
        <color theme="1"/>
        <rFont val="Aptos Narrow"/>
        <family val="2"/>
        <scheme val="minor"/>
      </rPr>
      <t xml:space="preserve">: </t>
    </r>
    <r>
      <rPr>
        <sz val="16"/>
        <color theme="1"/>
        <rFont val="Arial Unicode MS"/>
      </rPr>
      <t>"30"</t>
    </r>
    <r>
      <rPr>
        <sz val="16"/>
        <color theme="1"/>
        <rFont val="Aptos Narrow"/>
        <family val="2"/>
        <scheme val="minor"/>
      </rPr>
      <t>. A função CONT.SE contará quantas vezes o valor "30" aparece no intervalo C5:C16. Importante notar que o critério está entre aspas, o que é necessário quando se refere a um texto ou a um número específico.</t>
    </r>
  </si>
  <si>
    <r>
      <t xml:space="preserve">Suponha que o intervalo de C5 a C16 contém números representando, por exemplo, idades de pessoas, resultados de uma pesquisa ou qualquer outra série de dados numéricos. Ao usar </t>
    </r>
    <r>
      <rPr>
        <sz val="16"/>
        <color theme="1"/>
        <rFont val="Arial Unicode MS"/>
      </rPr>
      <t>=CONT.SE(C5:C16;"30")</t>
    </r>
    <r>
      <rPr>
        <sz val="16"/>
        <color theme="1"/>
        <rFont val="Aptos Narrow"/>
        <family val="2"/>
        <scheme val="minor"/>
      </rPr>
      <t>, o Excel contará quantas vezes o número 30 aparece nesse intervalo específico.</t>
    </r>
  </si>
  <si>
    <t>Se o critério for um texto ou um número específico, ele deve ser colocado entre aspas. Por exemplo, "30", "Aprovado", etc.</t>
  </si>
  <si>
    <t>É possível usar critérios mais complexos com operadores lógicos. Por exemplo, "&gt;30" contaria todas as células com valores maiores que 30.</t>
  </si>
  <si>
    <t xml:space="preserve">  A função CONT.SE é útil em muitas situações, como análises de dados, relatórios e em cenários onde você precisa rapidamente avaliar a frequência de certos valores em um conjunto de dados.</t>
  </si>
  <si>
    <t>A função CONT.SE não conta células vazias.</t>
  </si>
  <si>
    <t xml:space="preserve">  A função CONT.SE é uma ferramenta simples, porém poderosa, para análise de dados no Excel, proporcionando uma maneira eficiente de contar ocorrências de valores específicos dentro de um intervalo de células.</t>
  </si>
  <si>
    <t>SOMASE / SUMIF</t>
  </si>
  <si>
    <t>1) Soma salário de todos que se chamam Afonso Alves</t>
  </si>
  <si>
    <t>2) Soma salário de todos que tem 23 anos</t>
  </si>
  <si>
    <t>3) Soma salário de todos que ganham menos de 4.000</t>
  </si>
  <si>
    <t>4) Soma salário de todos que tem mais de 23 anos</t>
  </si>
  <si>
    <r>
      <t xml:space="preserve">A função </t>
    </r>
    <r>
      <rPr>
        <sz val="14"/>
        <color theme="1"/>
        <rFont val="Arial Unicode MS"/>
      </rPr>
      <t>SOMASE</t>
    </r>
    <r>
      <rPr>
        <sz val="14"/>
        <color theme="1"/>
        <rFont val="Aptos Narrow"/>
        <family val="2"/>
        <scheme val="minor"/>
      </rPr>
      <t xml:space="preserve"> no Excel é uma ferramenta muito útil para realizar a soma de células que atendem a um critério específico. Ela é essencialmente uma combinação das funções de soma e de filtragem, permitindo que você some valores em um intervalo com base em um critério condicional.</t>
    </r>
  </si>
  <si>
    <t>O Que é SOMASE?</t>
  </si>
  <si>
    <t>SOMASE é uma abreviação de "Soma Se" em português (equivalente a SUMIF em inglês). Esta função soma os valores em um intervalo que satisfazem um critério especificado.</t>
  </si>
  <si>
    <t>Sintaxe da Função SOMASE:</t>
  </si>
  <si>
    <t>A função SOMASE tem a seguinte sintaxe:</t>
  </si>
  <si>
    <t>=SOMASE(intervalo; critério; [intervalo_soma])</t>
  </si>
  <si>
    <r>
      <t>1. intervalo</t>
    </r>
    <r>
      <rPr>
        <sz val="14"/>
        <color theme="1"/>
        <rFont val="Aptos Narrow"/>
        <family val="2"/>
        <scheme val="minor"/>
      </rPr>
      <t>: O conjunto de células que será avaliado pelo critério. É neste intervalo que o Excel procurará as células que atendem ao critério.</t>
    </r>
  </si>
  <si>
    <r>
      <t>2. critério</t>
    </r>
    <r>
      <rPr>
        <sz val="14"/>
        <color theme="1"/>
        <rFont val="Aptos Narrow"/>
        <family val="2"/>
        <scheme val="minor"/>
      </rPr>
      <t>: O critério que define quais células no intervalo devem ser somadas. Pode ser um número, expressão, texto ou até mesmo outra função.</t>
    </r>
  </si>
  <si>
    <r>
      <t xml:space="preserve">  3. intervalo_soma</t>
    </r>
    <r>
      <rPr>
        <sz val="14"/>
        <color theme="1"/>
        <rFont val="Aptos Narrow"/>
        <family val="2"/>
        <scheme val="minor"/>
      </rPr>
      <t xml:space="preserve"> (opcional): O conjunto de células cujos valores serão somados. Se omitido, o Excel assume que o intervalo_soma é o mesmo que o intervalo de avaliação do critério.</t>
    </r>
  </si>
  <si>
    <t>Suponha que você tenha uma planilha onde uma coluna contém categorias de despesas (como "Alimentação", "Transporte", "Habitação") e outra coluna contém os valores dessas despesas. Se você quiser somar apenas os valores relacionados a "Alimentação", poderá usar a função SOMASE.</t>
  </si>
  <si>
    <t>Por exemplo, se as categorias estiverem no intervalo A2:A100 e os valores correspondentes estiverem no intervalo B2:B100, a fórmula seria algo como:</t>
  </si>
  <si>
    <t>=SOMASE(A2:A106; "Alimentação"; B2:B106)</t>
  </si>
  <si>
    <t>Neste caso, a função SOMASE somará todos os valores na coluna B (intervalo_soma) onde a categoria correspondente na coluna A (intervalo) é "Alimentação" (critério).</t>
  </si>
  <si>
    <t>O critério pode incluir operadores lógicos como "&gt;" (maior que), "&lt;" (menor que), etc., para critérios numéricos.</t>
  </si>
  <si>
    <t>Se o critério for um texto ou um valor específico, deve ser colocado entre aspas.</t>
  </si>
  <si>
    <t>A função SOMASE é particularmente útil para análises financeiras, contábeis e em cenários de gerenciamento de dados onde você precisa somar valores com base em condições específicas.</t>
  </si>
  <si>
    <t>É uma ferramenta eficaz para aprimorar a organização e a análise de grandes conjuntos de dados, permitindo uma avaliação rápida e precisa de subconjuntos de dados com base em critérios definidos.</t>
  </si>
  <si>
    <t>Em resumo, a função SOMASE é uma ferramenta poderosa no Excel para a realização de somas condicionais, permitindo uma análise de dados mais detalhada e específica em várias aplicações práticas.</t>
  </si>
  <si>
    <t>subtraia 50 de 200</t>
  </si>
  <si>
    <t>o resultado da operação é: -150</t>
  </si>
  <si>
    <t>o que é somase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</si>
</sst>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2">
    <font>
      <sz val="11"/>
      <color theme="1"/>
      <name val="Aptos Narrow"/>
      <family val="2"/>
      <scheme val="minor"/>
    </font>
    <font>
      <sz val="28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6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1"/>
      <name val="Arial Unicode MS"/>
    </font>
    <font>
      <b/>
      <sz val="14"/>
      <color theme="1"/>
      <name val="Aptos Narrow"/>
      <family val="2"/>
      <scheme val="minor"/>
    </font>
    <font>
      <sz val="18"/>
      <color rgb="FF000000"/>
      <name val="Calibri"/>
      <family val="2"/>
    </font>
    <font>
      <sz val="7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6"/>
      <color theme="1"/>
      <name val="Arial Unicode MS"/>
    </font>
    <font>
      <b/>
      <sz val="16"/>
      <color theme="1"/>
      <name val="Aptos Narrow"/>
      <family val="2"/>
      <scheme val="minor"/>
    </font>
    <font>
      <b/>
      <sz val="16"/>
      <color theme="1"/>
      <name val="Arial Unicode MS"/>
    </font>
    <font>
      <sz val="22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26"/>
      <color theme="1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24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rgb="FFFFFFD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57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4" fillId="2" borderId="1" xfId="0" applyFont="1" applyFill="1" applyBorder="1" applyAlignment="1">
      <alignment horizontal="center"/>
    </xf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0" fontId="6" fillId="0" borderId="0" xfId="0" applyFont="1" applyAlignment="1">
      <alignment horizontal="left" wrapText="1"/>
    </xf>
    <xf numFmtId="0" fontId="6" fillId="0" borderId="0" xfId="0" applyFont="1"/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6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top" wrapText="1"/>
    </xf>
    <xf numFmtId="44" fontId="10" fillId="0" borderId="0" xfId="1" applyFont="1" applyAlignment="1"/>
    <xf numFmtId="44" fontId="11" fillId="0" borderId="0" xfId="1" applyFont="1" applyAlignment="1"/>
    <xf numFmtId="44" fontId="0" fillId="0" borderId="0" xfId="1" applyFont="1"/>
    <xf numFmtId="0" fontId="12" fillId="2" borderId="1" xfId="0" applyFont="1" applyFill="1" applyBorder="1"/>
    <xf numFmtId="44" fontId="12" fillId="2" borderId="1" xfId="1" applyFont="1" applyFill="1" applyBorder="1" applyAlignment="1">
      <alignment horizontal="right"/>
    </xf>
    <xf numFmtId="0" fontId="6" fillId="0" borderId="3" xfId="0" applyFont="1" applyBorder="1"/>
    <xf numFmtId="44" fontId="6" fillId="0" borderId="3" xfId="1" applyFont="1" applyBorder="1"/>
    <xf numFmtId="0" fontId="6" fillId="3" borderId="3" xfId="0" applyFont="1" applyFill="1" applyBorder="1"/>
    <xf numFmtId="44" fontId="6" fillId="3" borderId="3" xfId="1" applyFont="1" applyFill="1" applyBorder="1"/>
    <xf numFmtId="0" fontId="5" fillId="0" borderId="0" xfId="0" applyFont="1" applyAlignment="1">
      <alignment horizontal="left" wrapText="1"/>
    </xf>
    <xf numFmtId="0" fontId="14" fillId="0" borderId="0" xfId="0" applyFont="1" applyAlignment="1">
      <alignment vertical="center"/>
    </xf>
    <xf numFmtId="0" fontId="5" fillId="0" borderId="0" xfId="0" applyFont="1"/>
    <xf numFmtId="0" fontId="5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5" fillId="0" borderId="0" xfId="0" applyFont="1" applyAlignment="1">
      <alignment horizontal="left" vertical="center" indent="1"/>
    </xf>
    <xf numFmtId="0" fontId="14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top" wrapText="1"/>
    </xf>
    <xf numFmtId="0" fontId="16" fillId="0" borderId="0" xfId="0" applyFont="1"/>
    <xf numFmtId="0" fontId="0" fillId="0" borderId="0" xfId="0" applyAlignment="1">
      <alignment horizontal="right"/>
    </xf>
    <xf numFmtId="0" fontId="17" fillId="2" borderId="1" xfId="0" applyFont="1" applyFill="1" applyBorder="1"/>
    <xf numFmtId="0" fontId="17" fillId="2" borderId="1" xfId="0" applyFont="1" applyFill="1" applyBorder="1" applyAlignment="1">
      <alignment horizontal="center"/>
    </xf>
    <xf numFmtId="0" fontId="18" fillId="0" borderId="0" xfId="0" applyFont="1"/>
    <xf numFmtId="0" fontId="11" fillId="0" borderId="2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9" fillId="4" borderId="2" xfId="0" applyFont="1" applyFill="1" applyBorder="1" applyAlignment="1">
      <alignment horizontal="center"/>
    </xf>
    <xf numFmtId="0" fontId="13" fillId="0" borderId="0" xfId="0" quotePrefix="1" applyFont="1" applyAlignment="1">
      <alignment vertical="center"/>
    </xf>
    <xf numFmtId="0" fontId="5" fillId="0" borderId="0" xfId="0" applyFont="1" applyAlignment="1">
      <alignment horizontal="left" vertical="center" wrapText="1"/>
    </xf>
    <xf numFmtId="44" fontId="16" fillId="0" borderId="0" xfId="1" applyFont="1"/>
    <xf numFmtId="0" fontId="11" fillId="0" borderId="0" xfId="0" applyFont="1"/>
    <xf numFmtId="0" fontId="11" fillId="0" borderId="0" xfId="0" applyFont="1" applyAlignment="1">
      <alignment horizontal="center"/>
    </xf>
    <xf numFmtId="44" fontId="11" fillId="0" borderId="0" xfId="1" applyFont="1" applyAlignment="1">
      <alignment horizontal="center"/>
    </xf>
    <xf numFmtId="0" fontId="20" fillId="2" borderId="1" xfId="0" applyFont="1" applyFill="1" applyBorder="1"/>
    <xf numFmtId="0" fontId="20" fillId="2" borderId="1" xfId="0" applyFont="1" applyFill="1" applyBorder="1" applyAlignment="1">
      <alignment horizontal="center"/>
    </xf>
    <xf numFmtId="44" fontId="20" fillId="2" borderId="1" xfId="1" applyFont="1" applyFill="1" applyBorder="1" applyAlignment="1">
      <alignment horizontal="center"/>
    </xf>
    <xf numFmtId="44" fontId="21" fillId="4" borderId="2" xfId="1" applyFont="1" applyFill="1" applyBorder="1" applyAlignment="1">
      <alignment horizontal="center"/>
    </xf>
    <xf numFmtId="0" fontId="11" fillId="0" borderId="2" xfId="0" applyFont="1" applyBorder="1"/>
    <xf numFmtId="0" fontId="11" fillId="0" borderId="2" xfId="0" applyFont="1" applyBorder="1" applyAlignment="1">
      <alignment horizontal="center"/>
    </xf>
    <xf numFmtId="44" fontId="11" fillId="0" borderId="2" xfId="1" applyFont="1" applyBorder="1" applyAlignment="1">
      <alignment horizontal="center"/>
    </xf>
    <xf numFmtId="44" fontId="11" fillId="4" borderId="2" xfId="1" applyFont="1" applyFill="1" applyBorder="1" applyAlignment="1">
      <alignment horizontal="center"/>
    </xf>
    <xf numFmtId="0" fontId="7" fillId="0" borderId="0" xfId="0" quotePrefix="1" applyFont="1" applyAlignment="1">
      <alignment vertical="center"/>
    </xf>
  </cellXfs>
  <cellStyles count="2">
    <cellStyle name="Moeda 2" xfId="1" xr:uid="{EE3E2E9D-80CB-422B-B682-3BCA5A2D87E7}"/>
    <cellStyle name="Normal" xfId="0" builtinId="0"/>
  </cellStyles>
  <dxfs count="7">
    <dxf>
      <font>
        <b/>
        <i val="0"/>
      </font>
    </dxf>
    <dxf>
      <font>
        <b/>
        <i val="0"/>
        <strike val="0"/>
      </font>
    </dxf>
    <dxf>
      <font>
        <b/>
        <i val="0"/>
      </font>
    </dxf>
    <dxf>
      <font>
        <b/>
        <i val="0"/>
        <strike val="0"/>
      </font>
    </dxf>
    <dxf>
      <font>
        <b/>
        <i val="0"/>
      </font>
    </dxf>
    <dxf>
      <font>
        <b/>
        <i val="0"/>
        <strike val="0"/>
      </font>
    </dxf>
    <dxf>
      <font>
        <b/>
        <i val="0"/>
        <strike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370114</xdr:colOff>
          <xdr:row>1</xdr:row>
          <xdr:rowOff>38100</xdr:rowOff>
        </xdr:from>
        <xdr:to>
          <xdr:col>9</xdr:col>
          <xdr:colOff>0</xdr:colOff>
          <xdr:row>7</xdr:row>
          <xdr:rowOff>5443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96012" rIns="91440" bIns="96012" anchor="ctr" upright="1"/>
            <a:lstStyle/>
            <a:p>
              <a:pPr algn="ctr" rtl="0">
                <a:defRPr sz="1000"/>
              </a:pPr>
              <a:r>
                <a:rPr lang="pt-BR" sz="2800" b="0" i="0" u="none" strike="noStrike" baseline="0">
                  <a:solidFill>
                    <a:srgbClr val="000000"/>
                  </a:solidFill>
                  <a:latin typeface="Aptos Narrow"/>
                </a:rPr>
                <a:t>Abrir Formulário de Perguntas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397329</xdr:colOff>
          <xdr:row>0</xdr:row>
          <xdr:rowOff>146957</xdr:rowOff>
        </xdr:from>
        <xdr:to>
          <xdr:col>6</xdr:col>
          <xdr:colOff>5444</xdr:colOff>
          <xdr:row>1</xdr:row>
          <xdr:rowOff>255814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34E7806-C4CC-4497-86B0-9A149B1653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1001487</xdr:colOff>
          <xdr:row>1</xdr:row>
          <xdr:rowOff>391885</xdr:rowOff>
        </xdr:from>
        <xdr:to>
          <xdr:col>6</xdr:col>
          <xdr:colOff>979714</xdr:colOff>
          <xdr:row>1</xdr:row>
          <xdr:rowOff>685799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C6A62AB1-DD1B-4772-5BC5-1C62582045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2318657</xdr:colOff>
          <xdr:row>0</xdr:row>
          <xdr:rowOff>163285</xdr:rowOff>
        </xdr:from>
        <xdr:to>
          <xdr:col>4</xdr:col>
          <xdr:colOff>4027714</xdr:colOff>
          <xdr:row>1</xdr:row>
          <xdr:rowOff>272142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EAA2AD50-45FB-DEF5-ED6D-305D7FC0B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3374572</xdr:colOff>
          <xdr:row>1</xdr:row>
          <xdr:rowOff>10886</xdr:rowOff>
        </xdr:from>
        <xdr:to>
          <xdr:col>5</xdr:col>
          <xdr:colOff>0</xdr:colOff>
          <xdr:row>1</xdr:row>
          <xdr:rowOff>304800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6BCEF42A-5F56-8DB3-8ACE-5015B75F9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Arquivos\Downloads\Excel_IA.xlsm" TargetMode="External"/><Relationship Id="rId1" Type="http://schemas.openxmlformats.org/officeDocument/2006/relationships/externalLinkPath" Target="/Arquivos/Downloads/Excel_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incipal"/>
      <sheetName val="Planilha1"/>
      <sheetName val="Perguntas"/>
      <sheetName val="EXT.TEXTO"/>
      <sheetName val="PROCV"/>
      <sheetName val="CONT.SE"/>
      <sheetName val="SOMASE"/>
    </sheetNames>
    <definedNames>
      <definedName name="voltarTelaPrincipal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EDF06-A2AE-4E5A-BE5F-DC1F1FE28AB6}">
  <sheetPr codeName="Planilha1"/>
  <dimension ref="A1"/>
  <sheetViews>
    <sheetView tabSelected="1" workbookViewId="0">
      <selection activeCell="H11" sqref="H11"/>
    </sheetView>
  </sheetViews>
  <sheetFormatPr defaultRowHeight="14.6"/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eFormularioPerguntas">
                <anchor moveWithCells="1" sizeWithCells="1">
                  <from>
                    <xdr:col>1</xdr:col>
                    <xdr:colOff>370114</xdr:colOff>
                    <xdr:row>1</xdr:row>
                    <xdr:rowOff>38100</xdr:rowOff>
                  </from>
                  <to>
                    <xdr:col>9</xdr:col>
                    <xdr:colOff>0</xdr:colOff>
                    <xdr:row>7</xdr:row>
                    <xdr:rowOff>5443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80D2B-656E-454E-810D-53247AF56C73}">
  <sheetPr codeName="Planilha2"/>
  <dimension ref="A1:C53"/>
  <sheetViews>
    <sheetView topLeftCell="A28" workbookViewId="0">
      <selection activeCell="A55" sqref="A55"/>
    </sheetView>
  </sheetViews>
  <sheetFormatPr defaultRowHeight="14.6"/>
  <cols>
    <col min="1" max="1" width="44.3828125" bestFit="1" customWidth="1"/>
    <col min="2" max="2" width="212.69140625" bestFit="1" customWidth="1"/>
    <col min="3" max="3" width="11.4609375" bestFit="1" customWidth="1"/>
  </cols>
  <sheetData>
    <row r="1" spans="1:3">
      <c r="A1" t="s">
        <v>0</v>
      </c>
      <c r="B1" t="s">
        <v>1</v>
      </c>
      <c r="C1" t="s">
        <v>2</v>
      </c>
    </row>
    <row r="2" spans="1:3">
      <c r="A2" t="s">
        <v>3</v>
      </c>
      <c r="B2" t="s">
        <v>4</v>
      </c>
      <c r="C2" t="s">
        <v>3</v>
      </c>
    </row>
    <row r="3" spans="1:3">
      <c r="A3" t="s">
        <v>5</v>
      </c>
      <c r="B3" t="s">
        <v>4</v>
      </c>
      <c r="C3" t="s">
        <v>3</v>
      </c>
    </row>
    <row r="4" spans="1:3">
      <c r="A4" t="s">
        <v>6</v>
      </c>
      <c r="B4" t="s">
        <v>4</v>
      </c>
      <c r="C4" t="s">
        <v>3</v>
      </c>
    </row>
    <row r="5" spans="1:3">
      <c r="A5" t="s">
        <v>7</v>
      </c>
      <c r="B5" t="s">
        <v>4</v>
      </c>
      <c r="C5" t="s">
        <v>3</v>
      </c>
    </row>
    <row r="6" spans="1:3">
      <c r="A6" t="s">
        <v>8</v>
      </c>
      <c r="B6" t="s">
        <v>4</v>
      </c>
      <c r="C6" t="s">
        <v>3</v>
      </c>
    </row>
    <row r="7" spans="1:3">
      <c r="A7" t="s">
        <v>9</v>
      </c>
      <c r="B7" t="s">
        <v>4</v>
      </c>
      <c r="C7" t="s">
        <v>3</v>
      </c>
    </row>
    <row r="8" spans="1:3">
      <c r="A8" t="s">
        <v>10</v>
      </c>
      <c r="B8" t="s">
        <v>4</v>
      </c>
      <c r="C8" t="s">
        <v>3</v>
      </c>
    </row>
    <row r="9" spans="1:3">
      <c r="A9" t="s">
        <v>11</v>
      </c>
      <c r="B9" t="s">
        <v>4</v>
      </c>
      <c r="C9" t="s">
        <v>3</v>
      </c>
    </row>
    <row r="10" spans="1:3">
      <c r="A10" t="s">
        <v>12</v>
      </c>
      <c r="B10" t="s">
        <v>13</v>
      </c>
      <c r="C10" t="s">
        <v>12</v>
      </c>
    </row>
    <row r="11" spans="1:3">
      <c r="A11" t="s">
        <v>14</v>
      </c>
      <c r="B11" t="s">
        <v>13</v>
      </c>
      <c r="C11" t="s">
        <v>12</v>
      </c>
    </row>
    <row r="12" spans="1:3">
      <c r="A12" t="s">
        <v>15</v>
      </c>
      <c r="B12" t="s">
        <v>4</v>
      </c>
      <c r="C12" t="s">
        <v>12</v>
      </c>
    </row>
    <row r="13" spans="1:3">
      <c r="A13" t="s">
        <v>16</v>
      </c>
      <c r="B13" t="s">
        <v>13</v>
      </c>
      <c r="C13" t="s">
        <v>12</v>
      </c>
    </row>
    <row r="14" spans="1:3">
      <c r="A14" t="s">
        <v>17</v>
      </c>
      <c r="B14" t="s">
        <v>13</v>
      </c>
      <c r="C14" t="s">
        <v>12</v>
      </c>
    </row>
    <row r="15" spans="1:3">
      <c r="A15" t="s">
        <v>18</v>
      </c>
      <c r="B15" t="s">
        <v>13</v>
      </c>
      <c r="C15" t="s">
        <v>12</v>
      </c>
    </row>
    <row r="16" spans="1:3">
      <c r="A16" t="s">
        <v>19</v>
      </c>
      <c r="B16" t="s">
        <v>13</v>
      </c>
      <c r="C16" t="s">
        <v>12</v>
      </c>
    </row>
    <row r="17" spans="1:3">
      <c r="A17" t="s">
        <v>20</v>
      </c>
      <c r="B17" t="s">
        <v>13</v>
      </c>
      <c r="C17" t="s">
        <v>12</v>
      </c>
    </row>
    <row r="18" spans="1:3">
      <c r="A18" t="s">
        <v>21</v>
      </c>
      <c r="B18" t="s">
        <v>22</v>
      </c>
      <c r="C18" t="s">
        <v>21</v>
      </c>
    </row>
    <row r="19" spans="1:3">
      <c r="A19" t="s">
        <v>23</v>
      </c>
      <c r="B19" t="s">
        <v>22</v>
      </c>
      <c r="C19" t="s">
        <v>21</v>
      </c>
    </row>
    <row r="20" spans="1:3">
      <c r="A20" t="s">
        <v>24</v>
      </c>
      <c r="B20" t="s">
        <v>22</v>
      </c>
      <c r="C20" t="s">
        <v>21</v>
      </c>
    </row>
    <row r="21" spans="1:3">
      <c r="A21" t="s">
        <v>25</v>
      </c>
      <c r="B21" t="s">
        <v>22</v>
      </c>
      <c r="C21" t="s">
        <v>21</v>
      </c>
    </row>
    <row r="22" spans="1:3">
      <c r="A22" t="s">
        <v>26</v>
      </c>
      <c r="B22" t="s">
        <v>22</v>
      </c>
      <c r="C22" t="s">
        <v>21</v>
      </c>
    </row>
    <row r="23" spans="1:3">
      <c r="A23" t="s">
        <v>27</v>
      </c>
      <c r="B23" t="s">
        <v>22</v>
      </c>
      <c r="C23" t="s">
        <v>21</v>
      </c>
    </row>
    <row r="24" spans="1:3">
      <c r="A24" t="s">
        <v>28</v>
      </c>
      <c r="B24" t="s">
        <v>22</v>
      </c>
      <c r="C24" t="s">
        <v>21</v>
      </c>
    </row>
    <row r="25" spans="1:3">
      <c r="A25" t="s">
        <v>29</v>
      </c>
      <c r="B25" t="s">
        <v>22</v>
      </c>
      <c r="C25" t="s">
        <v>21</v>
      </c>
    </row>
    <row r="26" spans="1:3">
      <c r="A26" t="s">
        <v>30</v>
      </c>
      <c r="B26" t="s">
        <v>31</v>
      </c>
      <c r="C26" t="s">
        <v>30</v>
      </c>
    </row>
    <row r="27" spans="1:3">
      <c r="A27" t="s">
        <v>32</v>
      </c>
      <c r="B27" t="s">
        <v>31</v>
      </c>
      <c r="C27" t="s">
        <v>30</v>
      </c>
    </row>
    <row r="28" spans="1:3">
      <c r="A28" t="s">
        <v>33</v>
      </c>
      <c r="B28" t="s">
        <v>31</v>
      </c>
      <c r="C28" t="s">
        <v>30</v>
      </c>
    </row>
    <row r="29" spans="1:3">
      <c r="A29" t="s">
        <v>34</v>
      </c>
      <c r="B29" t="s">
        <v>31</v>
      </c>
      <c r="C29" t="s">
        <v>30</v>
      </c>
    </row>
    <row r="30" spans="1:3">
      <c r="A30" t="s">
        <v>35</v>
      </c>
      <c r="B30" t="s">
        <v>31</v>
      </c>
      <c r="C30" t="s">
        <v>30</v>
      </c>
    </row>
    <row r="31" spans="1:3">
      <c r="A31" t="s">
        <v>36</v>
      </c>
      <c r="B31" t="s">
        <v>31</v>
      </c>
      <c r="C31" t="s">
        <v>30</v>
      </c>
    </row>
    <row r="32" spans="1:3">
      <c r="A32" t="s">
        <v>37</v>
      </c>
      <c r="B32" t="s">
        <v>31</v>
      </c>
      <c r="C32" t="s">
        <v>30</v>
      </c>
    </row>
    <row r="33" spans="1:3">
      <c r="A33" t="s">
        <v>38</v>
      </c>
      <c r="B33" t="s">
        <v>31</v>
      </c>
      <c r="C33" t="s">
        <v>30</v>
      </c>
    </row>
    <row r="34" spans="1:3">
      <c r="A34" t="s">
        <v>39</v>
      </c>
      <c r="B34" t="s">
        <v>40</v>
      </c>
      <c r="C34" t="s">
        <v>41</v>
      </c>
    </row>
    <row r="35" spans="1:3">
      <c r="A35" t="s">
        <v>42</v>
      </c>
      <c r="B35" t="s">
        <v>43</v>
      </c>
      <c r="C35" t="s">
        <v>41</v>
      </c>
    </row>
    <row r="36" spans="1:3">
      <c r="A36" t="s">
        <v>45</v>
      </c>
      <c r="B36" t="s">
        <v>46</v>
      </c>
      <c r="C36" t="s">
        <v>41</v>
      </c>
    </row>
    <row r="37" spans="1:3">
      <c r="A37" t="s">
        <v>47</v>
      </c>
      <c r="B37" t="s">
        <v>48</v>
      </c>
      <c r="C37" t="s">
        <v>41</v>
      </c>
    </row>
    <row r="38" spans="1:3">
      <c r="A38" t="s">
        <v>49</v>
      </c>
      <c r="B38" t="s">
        <v>50</v>
      </c>
      <c r="C38" t="s">
        <v>41</v>
      </c>
    </row>
    <row r="39" spans="1:3">
      <c r="A39" t="s">
        <v>51</v>
      </c>
      <c r="B39" t="s">
        <v>52</v>
      </c>
      <c r="C39" t="s">
        <v>41</v>
      </c>
    </row>
    <row r="40" spans="1:3">
      <c r="A40" t="s">
        <v>53</v>
      </c>
      <c r="B40" t="s">
        <v>54</v>
      </c>
      <c r="C40" t="s">
        <v>41</v>
      </c>
    </row>
    <row r="41" spans="1:3">
      <c r="A41" t="s">
        <v>55</v>
      </c>
      <c r="B41" t="s">
        <v>56</v>
      </c>
      <c r="C41" t="s">
        <v>41</v>
      </c>
    </row>
    <row r="42" spans="1:3">
      <c r="A42" t="s">
        <v>57</v>
      </c>
      <c r="B42" t="s">
        <v>58</v>
      </c>
      <c r="C42" t="s">
        <v>41</v>
      </c>
    </row>
    <row r="43" spans="1:3">
      <c r="A43" t="s">
        <v>59</v>
      </c>
      <c r="B43" t="s">
        <v>60</v>
      </c>
      <c r="C43" t="s">
        <v>41</v>
      </c>
    </row>
    <row r="44" spans="1:3">
      <c r="A44" t="s">
        <v>61</v>
      </c>
      <c r="B44" t="s">
        <v>62</v>
      </c>
      <c r="C44" t="s">
        <v>41</v>
      </c>
    </row>
    <row r="45" spans="1:3">
      <c r="A45" t="s">
        <v>63</v>
      </c>
      <c r="B45" t="s">
        <v>64</v>
      </c>
      <c r="C45" t="s">
        <v>41</v>
      </c>
    </row>
    <row r="46" spans="1:3">
      <c r="A46" t="s">
        <v>65</v>
      </c>
      <c r="B46" t="s">
        <v>66</v>
      </c>
      <c r="C46" t="s">
        <v>41</v>
      </c>
    </row>
    <row r="47" spans="1:3">
      <c r="A47" t="s">
        <v>67</v>
      </c>
      <c r="B47" t="s">
        <v>68</v>
      </c>
      <c r="C47" t="s">
        <v>41</v>
      </c>
    </row>
    <row r="48" spans="1:3">
      <c r="A48" t="s">
        <v>69</v>
      </c>
      <c r="B48" t="s">
        <v>70</v>
      </c>
      <c r="C48" t="s">
        <v>41</v>
      </c>
    </row>
    <row r="49" spans="1:3">
      <c r="A49" t="s">
        <v>71</v>
      </c>
      <c r="B49" t="s">
        <v>72</v>
      </c>
      <c r="C49" t="s">
        <v>41</v>
      </c>
    </row>
    <row r="50" spans="1:3">
      <c r="A50" t="s">
        <v>73</v>
      </c>
      <c r="B50" t="s">
        <v>74</v>
      </c>
      <c r="C50" t="s">
        <v>41</v>
      </c>
    </row>
    <row r="51" spans="1:3">
      <c r="A51" t="s">
        <v>75</v>
      </c>
      <c r="B51" t="s">
        <v>76</v>
      </c>
      <c r="C51" t="s">
        <v>41</v>
      </c>
    </row>
    <row r="52" spans="1:3">
      <c r="A52" t="s">
        <v>77</v>
      </c>
      <c r="B52" t="s">
        <v>78</v>
      </c>
      <c r="C52" t="s">
        <v>41</v>
      </c>
    </row>
    <row r="53" spans="1:3">
      <c r="A53" t="s">
        <v>84</v>
      </c>
      <c r="B53" t="s">
        <v>83</v>
      </c>
      <c r="C53" t="s">
        <v>41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B968-9E4D-4EB5-BCBA-43B1B5BC2A59}">
  <sheetPr codeName="Planilha3"/>
  <dimension ref="A1:D12"/>
  <sheetViews>
    <sheetView workbookViewId="0">
      <selection activeCell="E10" sqref="E10"/>
    </sheetView>
  </sheetViews>
  <sheetFormatPr defaultRowHeight="14.6"/>
  <sheetData>
    <row r="1" spans="1:4">
      <c r="A1" t="s">
        <v>79</v>
      </c>
      <c r="B1" t="s">
        <v>80</v>
      </c>
      <c r="C1" t="s">
        <v>81</v>
      </c>
      <c r="D1" t="s">
        <v>2</v>
      </c>
    </row>
    <row r="2" spans="1:4">
      <c r="A2">
        <v>1</v>
      </c>
      <c r="B2" t="s">
        <v>3</v>
      </c>
      <c r="C2" t="s">
        <v>4</v>
      </c>
      <c r="D2" t="s">
        <v>3</v>
      </c>
    </row>
    <row r="3" spans="1:4">
      <c r="A3">
        <v>2</v>
      </c>
      <c r="B3" t="s">
        <v>5</v>
      </c>
      <c r="C3" t="s">
        <v>4</v>
      </c>
      <c r="D3" t="s">
        <v>3</v>
      </c>
    </row>
    <row r="4" spans="1:4">
      <c r="A4">
        <v>3</v>
      </c>
      <c r="B4" t="s">
        <v>6</v>
      </c>
      <c r="C4" t="s">
        <v>4</v>
      </c>
      <c r="D4" t="s">
        <v>3</v>
      </c>
    </row>
    <row r="5" spans="1:4">
      <c r="A5">
        <v>4</v>
      </c>
      <c r="B5" t="s">
        <v>82</v>
      </c>
      <c r="C5" t="s">
        <v>64</v>
      </c>
      <c r="D5" t="s">
        <v>41</v>
      </c>
    </row>
    <row r="6" spans="1:4">
      <c r="A6">
        <v>5</v>
      </c>
      <c r="B6" t="s">
        <v>85</v>
      </c>
      <c r="C6" t="s">
        <v>44</v>
      </c>
      <c r="D6" t="s">
        <v>41</v>
      </c>
    </row>
    <row r="7" spans="1:4">
      <c r="A7">
        <v>6</v>
      </c>
      <c r="B7" t="s">
        <v>85</v>
      </c>
      <c r="C7" t="s">
        <v>83</v>
      </c>
      <c r="D7" t="s">
        <v>41</v>
      </c>
    </row>
    <row r="8" spans="1:4">
      <c r="A8">
        <v>7</v>
      </c>
      <c r="B8" t="s">
        <v>86</v>
      </c>
      <c r="C8" t="s">
        <v>4</v>
      </c>
      <c r="D8" t="s">
        <v>3</v>
      </c>
    </row>
    <row r="9" spans="1:4">
      <c r="A9">
        <v>8</v>
      </c>
      <c r="B9" t="s">
        <v>87</v>
      </c>
      <c r="C9" t="s">
        <v>88</v>
      </c>
      <c r="D9" t="s">
        <v>89</v>
      </c>
    </row>
    <row r="10" spans="1:4">
      <c r="A10">
        <v>9</v>
      </c>
      <c r="B10" t="s">
        <v>122</v>
      </c>
      <c r="C10" t="s">
        <v>31</v>
      </c>
      <c r="D10" t="s">
        <v>30</v>
      </c>
    </row>
    <row r="11" spans="1:4">
      <c r="A11">
        <v>10</v>
      </c>
      <c r="B11" t="s">
        <v>215</v>
      </c>
      <c r="C11" t="s">
        <v>216</v>
      </c>
      <c r="D11" t="s">
        <v>89</v>
      </c>
    </row>
    <row r="12" spans="1:4">
      <c r="A12">
        <v>11</v>
      </c>
      <c r="B12" t="s">
        <v>217</v>
      </c>
      <c r="C12" t="s">
        <v>22</v>
      </c>
      <c r="D12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3F9F3-6FDE-417D-B592-ACDC365685F8}">
  <sheetPr codeName="Planilha4"/>
  <dimension ref="A1:F62"/>
  <sheetViews>
    <sheetView showGridLines="0" workbookViewId="0">
      <selection activeCell="I6" sqref="I6"/>
    </sheetView>
  </sheetViews>
  <sheetFormatPr defaultRowHeight="14.6"/>
  <cols>
    <col min="1" max="1" width="74.765625" customWidth="1"/>
    <col min="2" max="5" width="12.4609375" bestFit="1" customWidth="1"/>
    <col min="6" max="6" width="17.23046875" bestFit="1" customWidth="1"/>
  </cols>
  <sheetData>
    <row r="1" spans="1:6">
      <c r="B1" s="2"/>
      <c r="C1" s="2"/>
      <c r="D1" s="2"/>
      <c r="E1" s="2"/>
      <c r="F1" s="2"/>
    </row>
    <row r="2" spans="1:6" ht="20.6">
      <c r="A2" s="1" t="s">
        <v>90</v>
      </c>
      <c r="B2" s="2"/>
      <c r="C2" s="2"/>
      <c r="D2" s="2"/>
      <c r="E2" s="2"/>
      <c r="F2" s="2"/>
    </row>
    <row r="3" spans="1:6">
      <c r="B3" s="2"/>
      <c r="C3" s="2"/>
      <c r="D3" s="2"/>
      <c r="E3" s="2"/>
      <c r="F3" s="2"/>
    </row>
    <row r="4" spans="1:6" ht="20.6">
      <c r="A4" s="3" t="s">
        <v>91</v>
      </c>
      <c r="B4" s="3" t="s">
        <v>92</v>
      </c>
      <c r="C4" s="3" t="s">
        <v>93</v>
      </c>
      <c r="D4" s="3" t="s">
        <v>94</v>
      </c>
      <c r="E4" s="3" t="s">
        <v>95</v>
      </c>
      <c r="F4" s="3" t="s">
        <v>96</v>
      </c>
    </row>
    <row r="5" spans="1:6" ht="20.6">
      <c r="A5" s="4" t="s">
        <v>97</v>
      </c>
      <c r="B5" s="5" t="str">
        <f>MID(A5,1,3)</f>
        <v>983</v>
      </c>
      <c r="C5" s="5" t="str">
        <f>MID(A5,5,3)</f>
        <v>456</v>
      </c>
      <c r="D5" s="5" t="str">
        <f>MID(A5,9,3)</f>
        <v>abc</v>
      </c>
      <c r="E5" s="5" t="str">
        <f>MID(A5,13,2)</f>
        <v>10</v>
      </c>
      <c r="F5" s="5" t="str">
        <f>MID(A5,1,3)&amp;MID(A5,5,3)&amp;MID(A5,9,3)&amp;MID(A5,13,2)</f>
        <v>983456abc10</v>
      </c>
    </row>
    <row r="6" spans="1:6" ht="20.6">
      <c r="A6" s="4" t="s">
        <v>98</v>
      </c>
      <c r="B6" s="5" t="str">
        <f t="shared" ref="B6:B12" si="0">MID(A6,1,3)</f>
        <v>123</v>
      </c>
      <c r="C6" s="5" t="str">
        <f t="shared" ref="C6:C12" si="1">MID(A6,5,3)</f>
        <v>456</v>
      </c>
      <c r="D6" s="5" t="str">
        <f t="shared" ref="D6:D12" si="2">MID(A6,9,3)</f>
        <v>789</v>
      </c>
      <c r="E6" s="5" t="str">
        <f t="shared" ref="E6:E12" si="3">MID(A6,13,2)</f>
        <v>11</v>
      </c>
      <c r="F6" s="5" t="str">
        <f t="shared" ref="F6:F12" si="4">MID(A6,1,3)&amp;MID(A6,5,3)&amp;MID(A6,9,3)&amp;MID(A6,13,2)</f>
        <v>12345678911</v>
      </c>
    </row>
    <row r="7" spans="1:6" ht="20.6">
      <c r="A7" s="4" t="s">
        <v>99</v>
      </c>
      <c r="B7" s="5" t="str">
        <f t="shared" si="0"/>
        <v>123</v>
      </c>
      <c r="C7" s="5" t="str">
        <f t="shared" si="1"/>
        <v>416</v>
      </c>
      <c r="D7" s="5" t="str">
        <f t="shared" si="2"/>
        <v>789</v>
      </c>
      <c r="E7" s="5" t="str">
        <f t="shared" si="3"/>
        <v>12</v>
      </c>
      <c r="F7" s="5" t="str">
        <f t="shared" si="4"/>
        <v>12341678912</v>
      </c>
    </row>
    <row r="8" spans="1:6" ht="20.6">
      <c r="A8" s="4" t="s">
        <v>100</v>
      </c>
      <c r="B8" s="5" t="str">
        <f t="shared" si="0"/>
        <v>123</v>
      </c>
      <c r="C8" s="5" t="str">
        <f t="shared" si="1"/>
        <v>456</v>
      </c>
      <c r="D8" s="5" t="str">
        <f t="shared" si="2"/>
        <v>aa9</v>
      </c>
      <c r="E8" s="5" t="str">
        <f t="shared" si="3"/>
        <v>13</v>
      </c>
      <c r="F8" s="5" t="str">
        <f t="shared" si="4"/>
        <v>123456aa913</v>
      </c>
    </row>
    <row r="9" spans="1:6" ht="20.6">
      <c r="A9" s="4" t="s">
        <v>101</v>
      </c>
      <c r="B9" s="5" t="str">
        <f t="shared" si="0"/>
        <v>123</v>
      </c>
      <c r="C9" s="5" t="str">
        <f t="shared" si="1"/>
        <v>456</v>
      </c>
      <c r="D9" s="5" t="str">
        <f t="shared" si="2"/>
        <v>789</v>
      </c>
      <c r="E9" s="5" t="str">
        <f t="shared" si="3"/>
        <v>14</v>
      </c>
      <c r="F9" s="5" t="str">
        <f t="shared" si="4"/>
        <v>12345678914</v>
      </c>
    </row>
    <row r="10" spans="1:6" ht="20.6">
      <c r="A10" s="4" t="s">
        <v>102</v>
      </c>
      <c r="B10" s="5" t="str">
        <f t="shared" si="0"/>
        <v>123</v>
      </c>
      <c r="C10" s="5" t="str">
        <f t="shared" si="1"/>
        <v>456</v>
      </c>
      <c r="D10" s="5" t="str">
        <f t="shared" si="2"/>
        <v>789</v>
      </c>
      <c r="E10" s="5" t="str">
        <f t="shared" si="3"/>
        <v>15</v>
      </c>
      <c r="F10" s="5" t="str">
        <f t="shared" si="4"/>
        <v>12345678915</v>
      </c>
    </row>
    <row r="11" spans="1:6" ht="20.6">
      <c r="A11" s="4" t="s">
        <v>103</v>
      </c>
      <c r="B11" s="5" t="str">
        <f t="shared" si="0"/>
        <v>123</v>
      </c>
      <c r="C11" s="5" t="str">
        <f t="shared" si="1"/>
        <v>456</v>
      </c>
      <c r="D11" s="5" t="str">
        <f t="shared" si="2"/>
        <v>789</v>
      </c>
      <c r="E11" s="5" t="str">
        <f t="shared" si="3"/>
        <v>16</v>
      </c>
      <c r="F11" s="5" t="str">
        <f t="shared" si="4"/>
        <v>12345678916</v>
      </c>
    </row>
    <row r="12" spans="1:6" ht="20.6">
      <c r="A12" s="4" t="s">
        <v>104</v>
      </c>
      <c r="B12" s="5" t="str">
        <f t="shared" si="0"/>
        <v>123</v>
      </c>
      <c r="C12" s="5" t="str">
        <f t="shared" si="1"/>
        <v>456</v>
      </c>
      <c r="D12" s="5" t="str">
        <f t="shared" si="2"/>
        <v>789</v>
      </c>
      <c r="E12" s="5" t="str">
        <f t="shared" si="3"/>
        <v>17</v>
      </c>
      <c r="F12" s="5" t="str">
        <f t="shared" si="4"/>
        <v>12345678917</v>
      </c>
    </row>
    <row r="13" spans="1:6">
      <c r="B13" s="2"/>
      <c r="C13" s="2"/>
      <c r="D13" s="2"/>
      <c r="E13" s="2"/>
      <c r="F13" s="2"/>
    </row>
    <row r="14" spans="1:6">
      <c r="B14" s="2"/>
      <c r="C14" s="2"/>
      <c r="D14" s="2"/>
      <c r="E14" s="2"/>
      <c r="F14" s="2"/>
    </row>
    <row r="15" spans="1:6" ht="9" customHeight="1">
      <c r="B15" s="2"/>
      <c r="C15" s="2"/>
      <c r="D15" s="2"/>
      <c r="E15" s="2"/>
      <c r="F15" s="2"/>
    </row>
    <row r="16" spans="1:6">
      <c r="A16" s="6" t="s">
        <v>105</v>
      </c>
      <c r="B16" s="6"/>
      <c r="C16" s="6"/>
      <c r="D16" s="6"/>
      <c r="E16" s="6"/>
      <c r="F16" s="6"/>
    </row>
    <row r="17" spans="1:6">
      <c r="A17" s="6"/>
      <c r="B17" s="6"/>
      <c r="C17" s="6"/>
      <c r="D17" s="6"/>
      <c r="E17" s="6"/>
      <c r="F17" s="6"/>
    </row>
    <row r="18" spans="1:6" ht="29.15" customHeight="1">
      <c r="A18" s="6"/>
      <c r="B18" s="6"/>
      <c r="C18" s="6"/>
      <c r="D18" s="6"/>
      <c r="E18" s="6"/>
      <c r="F18" s="6"/>
    </row>
    <row r="19" spans="1:6" ht="18.45">
      <c r="A19" s="7"/>
      <c r="B19" s="2"/>
      <c r="C19" s="2"/>
      <c r="D19" s="2"/>
      <c r="E19" s="2"/>
      <c r="F19" s="2"/>
    </row>
    <row r="20" spans="1:6" ht="18.45">
      <c r="A20" s="8" t="s">
        <v>106</v>
      </c>
      <c r="B20" s="2"/>
      <c r="C20" s="2"/>
      <c r="D20" s="2"/>
      <c r="E20" s="2"/>
      <c r="F20" s="2"/>
    </row>
    <row r="21" spans="1:6" ht="18.45">
      <c r="A21" s="7"/>
      <c r="B21" s="2"/>
      <c r="C21" s="2"/>
      <c r="D21" s="2"/>
      <c r="E21" s="2"/>
      <c r="F21" s="2"/>
    </row>
    <row r="22" spans="1:6">
      <c r="A22" s="6" t="s">
        <v>31</v>
      </c>
      <c r="B22" s="6"/>
      <c r="C22" s="6"/>
      <c r="D22" s="6"/>
      <c r="E22" s="6"/>
      <c r="F22" s="6"/>
    </row>
    <row r="23" spans="1:6">
      <c r="A23" s="6"/>
      <c r="B23" s="6"/>
      <c r="C23" s="6"/>
      <c r="D23" s="6"/>
      <c r="E23" s="6"/>
      <c r="F23" s="6"/>
    </row>
    <row r="24" spans="1:6">
      <c r="A24" s="6"/>
      <c r="B24" s="6"/>
      <c r="C24" s="6"/>
      <c r="D24" s="6"/>
      <c r="E24" s="6"/>
      <c r="F24" s="6"/>
    </row>
    <row r="25" spans="1:6" ht="18.45">
      <c r="A25" s="7"/>
      <c r="B25" s="2"/>
      <c r="C25" s="2"/>
      <c r="D25" s="2"/>
      <c r="E25" s="2"/>
      <c r="F25" s="2"/>
    </row>
    <row r="26" spans="1:6" ht="18.45">
      <c r="A26" s="8" t="s">
        <v>107</v>
      </c>
      <c r="B26" s="2"/>
      <c r="C26" s="2"/>
      <c r="D26" s="2"/>
      <c r="E26" s="2"/>
      <c r="F26" s="2"/>
    </row>
    <row r="27" spans="1:6" ht="18.45">
      <c r="A27" s="7"/>
      <c r="B27" s="2"/>
      <c r="C27" s="2"/>
      <c r="D27" s="2"/>
      <c r="E27" s="2"/>
      <c r="F27" s="2"/>
    </row>
    <row r="28" spans="1:6" ht="18.45">
      <c r="A28" s="7" t="s">
        <v>108</v>
      </c>
      <c r="B28" s="2"/>
      <c r="C28" s="2"/>
      <c r="D28" s="2"/>
      <c r="E28" s="2"/>
      <c r="F28" s="2"/>
    </row>
    <row r="29" spans="1:6" ht="18.45">
      <c r="A29" s="9"/>
      <c r="B29" s="2"/>
      <c r="C29" s="2"/>
      <c r="D29" s="2"/>
      <c r="E29" s="2"/>
      <c r="F29" s="2"/>
    </row>
    <row r="30" spans="1:6" ht="20.6" customHeight="1">
      <c r="A30" s="10" t="s">
        <v>109</v>
      </c>
      <c r="B30" s="2"/>
      <c r="C30" s="2"/>
      <c r="D30" s="2"/>
      <c r="E30" s="2"/>
      <c r="F30" s="2"/>
    </row>
    <row r="31" spans="1:6" ht="18.45">
      <c r="A31" s="11"/>
      <c r="B31" s="2"/>
      <c r="C31" s="2"/>
      <c r="D31" s="2"/>
      <c r="E31" s="2"/>
      <c r="F31" s="2"/>
    </row>
    <row r="32" spans="1:6" ht="18.45">
      <c r="A32" s="12" t="s">
        <v>110</v>
      </c>
      <c r="B32" s="2"/>
      <c r="C32" s="2"/>
      <c r="D32" s="2"/>
      <c r="E32" s="2"/>
      <c r="F32" s="2"/>
    </row>
    <row r="33" spans="1:6" ht="18.45">
      <c r="A33" s="11"/>
      <c r="B33" s="2"/>
      <c r="C33" s="2"/>
      <c r="D33" s="2"/>
      <c r="E33" s="2"/>
      <c r="F33" s="2"/>
    </row>
    <row r="34" spans="1:6">
      <c r="A34" s="13" t="s">
        <v>111</v>
      </c>
      <c r="B34" s="13"/>
      <c r="C34" s="13"/>
      <c r="D34" s="13"/>
      <c r="E34" s="13"/>
      <c r="F34" s="13"/>
    </row>
    <row r="35" spans="1:6" ht="29.6" customHeight="1">
      <c r="A35" s="13"/>
      <c r="B35" s="13"/>
      <c r="C35" s="13"/>
      <c r="D35" s="13"/>
      <c r="E35" s="13"/>
      <c r="F35" s="13"/>
    </row>
    <row r="36" spans="1:6" ht="18.45">
      <c r="A36" s="11"/>
      <c r="B36" s="2"/>
      <c r="C36" s="2"/>
      <c r="D36" s="2"/>
      <c r="E36" s="2"/>
      <c r="F36" s="2"/>
    </row>
    <row r="37" spans="1:6">
      <c r="A37" s="13" t="s">
        <v>112</v>
      </c>
      <c r="B37" s="13"/>
      <c r="C37" s="13"/>
      <c r="D37" s="13"/>
      <c r="E37" s="13"/>
      <c r="F37" s="13"/>
    </row>
    <row r="38" spans="1:6" ht="24" customHeight="1">
      <c r="A38" s="13"/>
      <c r="B38" s="13"/>
      <c r="C38" s="13"/>
      <c r="D38" s="13"/>
      <c r="E38" s="13"/>
      <c r="F38" s="13"/>
    </row>
    <row r="39" spans="1:6" ht="18.45">
      <c r="A39" s="7"/>
      <c r="B39" s="2"/>
      <c r="C39" s="2"/>
      <c r="D39" s="2"/>
      <c r="E39" s="2"/>
      <c r="F39" s="2"/>
    </row>
    <row r="40" spans="1:6" ht="18.45">
      <c r="A40" s="8" t="s">
        <v>113</v>
      </c>
      <c r="B40" s="2"/>
      <c r="C40" s="2"/>
      <c r="D40" s="2"/>
      <c r="E40" s="2"/>
      <c r="F40" s="2"/>
    </row>
    <row r="41" spans="1:6" ht="18.45">
      <c r="A41" s="7"/>
      <c r="B41" s="2"/>
      <c r="C41" s="2"/>
      <c r="D41" s="2"/>
      <c r="E41" s="2"/>
      <c r="F41" s="2"/>
    </row>
    <row r="42" spans="1:6">
      <c r="A42" s="6" t="s">
        <v>114</v>
      </c>
      <c r="B42" s="6"/>
      <c r="C42" s="6"/>
      <c r="D42" s="6"/>
      <c r="E42" s="6"/>
      <c r="F42" s="6"/>
    </row>
    <row r="43" spans="1:6" ht="21.45" customHeight="1">
      <c r="A43" s="6"/>
      <c r="B43" s="6"/>
      <c r="C43" s="6"/>
      <c r="D43" s="6"/>
      <c r="E43" s="6"/>
      <c r="F43" s="6"/>
    </row>
    <row r="44" spans="1:6" ht="18.45">
      <c r="A44" s="7"/>
      <c r="B44" s="2"/>
      <c r="C44" s="2"/>
      <c r="D44" s="2"/>
      <c r="E44" s="2"/>
      <c r="F44" s="2"/>
    </row>
    <row r="45" spans="1:6">
      <c r="A45" s="6" t="s">
        <v>115</v>
      </c>
      <c r="B45" s="6"/>
      <c r="C45" s="6"/>
      <c r="D45" s="6"/>
      <c r="E45" s="6"/>
      <c r="F45" s="6"/>
    </row>
    <row r="46" spans="1:6" ht="23.15" customHeight="1">
      <c r="A46" s="6"/>
      <c r="B46" s="6"/>
      <c r="C46" s="6"/>
      <c r="D46" s="6"/>
      <c r="E46" s="6"/>
      <c r="F46" s="6"/>
    </row>
    <row r="47" spans="1:6" ht="18.45">
      <c r="A47" s="7"/>
      <c r="B47" s="2"/>
      <c r="C47" s="2"/>
      <c r="D47" s="2"/>
      <c r="E47" s="2"/>
      <c r="F47" s="2"/>
    </row>
    <row r="48" spans="1:6" ht="18.45">
      <c r="A48" s="8" t="s">
        <v>116</v>
      </c>
      <c r="B48" s="2"/>
      <c r="C48" s="2"/>
      <c r="D48" s="2"/>
      <c r="E48" s="2"/>
      <c r="F48" s="2"/>
    </row>
    <row r="49" spans="1:6" ht="18.45">
      <c r="A49" s="11"/>
      <c r="B49" s="2"/>
      <c r="C49" s="2"/>
      <c r="D49" s="2"/>
      <c r="E49" s="2"/>
      <c r="F49" s="2"/>
    </row>
    <row r="50" spans="1:6">
      <c r="A50" s="14" t="s">
        <v>117</v>
      </c>
      <c r="B50" s="14"/>
      <c r="C50" s="14"/>
      <c r="D50" s="14"/>
      <c r="E50" s="14"/>
      <c r="F50" s="14"/>
    </row>
    <row r="51" spans="1:6">
      <c r="A51" s="14"/>
      <c r="B51" s="14"/>
      <c r="C51" s="14"/>
      <c r="D51" s="14"/>
      <c r="E51" s="14"/>
      <c r="F51" s="14"/>
    </row>
    <row r="52" spans="1:6" ht="18.45">
      <c r="A52" s="11"/>
      <c r="B52" s="2"/>
      <c r="C52" s="2"/>
      <c r="D52" s="2"/>
      <c r="E52" s="2"/>
      <c r="F52" s="2"/>
    </row>
    <row r="53" spans="1:6" ht="18.45">
      <c r="A53" s="11" t="s">
        <v>118</v>
      </c>
      <c r="B53" s="2"/>
      <c r="C53" s="2"/>
      <c r="D53" s="2"/>
      <c r="E53" s="2"/>
      <c r="F53" s="2"/>
    </row>
    <row r="54" spans="1:6" ht="18.45">
      <c r="A54" s="11"/>
      <c r="B54" s="2"/>
      <c r="C54" s="2"/>
      <c r="D54" s="2"/>
      <c r="E54" s="2"/>
      <c r="F54" s="2"/>
    </row>
    <row r="55" spans="1:6" ht="18.45">
      <c r="A55" s="11" t="s">
        <v>119</v>
      </c>
      <c r="B55" s="2"/>
      <c r="C55" s="2"/>
      <c r="D55" s="2"/>
      <c r="E55" s="2"/>
      <c r="F55" s="2"/>
    </row>
    <row r="56" spans="1:6" ht="18.45">
      <c r="A56" s="11"/>
      <c r="B56" s="2"/>
      <c r="C56" s="2"/>
      <c r="D56" s="2"/>
      <c r="E56" s="2"/>
      <c r="F56" s="2"/>
    </row>
    <row r="57" spans="1:6">
      <c r="A57" s="14" t="s">
        <v>120</v>
      </c>
      <c r="B57" s="14"/>
      <c r="C57" s="14"/>
      <c r="D57" s="14"/>
      <c r="E57" s="14"/>
      <c r="F57" s="14"/>
    </row>
    <row r="58" spans="1:6">
      <c r="A58" s="14"/>
      <c r="B58" s="14"/>
      <c r="C58" s="14"/>
      <c r="D58" s="14"/>
      <c r="E58" s="14"/>
      <c r="F58" s="14"/>
    </row>
    <row r="59" spans="1:6" ht="18.45">
      <c r="A59" s="7"/>
      <c r="B59" s="2"/>
      <c r="C59" s="2"/>
      <c r="D59" s="2"/>
      <c r="E59" s="2"/>
      <c r="F59" s="2"/>
    </row>
    <row r="60" spans="1:6">
      <c r="A60" s="15" t="s">
        <v>121</v>
      </c>
      <c r="B60" s="15"/>
      <c r="C60" s="15"/>
      <c r="D60" s="15"/>
      <c r="E60" s="15"/>
      <c r="F60" s="15"/>
    </row>
    <row r="61" spans="1:6">
      <c r="A61" s="15"/>
      <c r="B61" s="15"/>
      <c r="C61" s="15"/>
      <c r="D61" s="15"/>
      <c r="E61" s="15"/>
      <c r="F61" s="15"/>
    </row>
    <row r="62" spans="1:6" ht="12" customHeight="1">
      <c r="A62" s="15"/>
      <c r="B62" s="15"/>
      <c r="C62" s="15"/>
      <c r="D62" s="15"/>
      <c r="E62" s="15"/>
      <c r="F62" s="15"/>
    </row>
  </sheetData>
  <mergeCells count="9">
    <mergeCell ref="A50:F51"/>
    <mergeCell ref="A57:F58"/>
    <mergeCell ref="A60:F62"/>
    <mergeCell ref="A16:F18"/>
    <mergeCell ref="A22:F24"/>
    <mergeCell ref="A34:F35"/>
    <mergeCell ref="A37:F38"/>
    <mergeCell ref="A42:F43"/>
    <mergeCell ref="A45:F4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oltarTelaPrincipal">
                <anchor moveWithCells="1" sizeWithCells="1">
                  <from>
                    <xdr:col>4</xdr:col>
                    <xdr:colOff>397329</xdr:colOff>
                    <xdr:row>0</xdr:row>
                    <xdr:rowOff>146957</xdr:rowOff>
                  </from>
                  <to>
                    <xdr:col>6</xdr:col>
                    <xdr:colOff>5443</xdr:colOff>
                    <xdr:row>1</xdr:row>
                    <xdr:rowOff>255814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D2995-0EDF-4801-B103-AB1BBD0E4CBA}">
  <sheetPr codeName="Planilha5"/>
  <dimension ref="A2:G84"/>
  <sheetViews>
    <sheetView showGridLines="0" topLeftCell="A2" workbookViewId="0">
      <selection activeCell="K2" sqref="K2"/>
    </sheetView>
  </sheetViews>
  <sheetFormatPr defaultRowHeight="14.6"/>
  <cols>
    <col min="1" max="1" width="41.61328125" customWidth="1"/>
    <col min="2" max="2" width="24.4609375" bestFit="1" customWidth="1"/>
    <col min="3" max="3" width="15" bestFit="1" customWidth="1"/>
    <col min="5" max="5" width="17.69140625" bestFit="1" customWidth="1"/>
    <col min="6" max="6" width="24.4609375" bestFit="1" customWidth="1"/>
    <col min="7" max="7" width="15" bestFit="1" customWidth="1"/>
  </cols>
  <sheetData>
    <row r="2" spans="1:7" ht="93.9">
      <c r="A2" s="16" t="s">
        <v>3</v>
      </c>
      <c r="B2" s="17"/>
      <c r="C2" s="17"/>
      <c r="D2" s="17"/>
      <c r="E2" s="17"/>
      <c r="F2" s="17"/>
      <c r="G2" s="17"/>
    </row>
    <row r="3" spans="1:7">
      <c r="C3" s="18"/>
    </row>
    <row r="4" spans="1:7">
      <c r="C4" s="18"/>
    </row>
    <row r="5" spans="1:7" ht="18.45">
      <c r="A5" s="19" t="s">
        <v>91</v>
      </c>
      <c r="B5" s="19" t="s">
        <v>123</v>
      </c>
      <c r="C5" s="20" t="s">
        <v>124</v>
      </c>
      <c r="E5" s="19" t="s">
        <v>91</v>
      </c>
      <c r="F5" s="19" t="s">
        <v>123</v>
      </c>
      <c r="G5" s="20" t="s">
        <v>124</v>
      </c>
    </row>
    <row r="6" spans="1:7" ht="18.45">
      <c r="A6" s="21" t="s">
        <v>125</v>
      </c>
      <c r="B6" s="21" t="s">
        <v>126</v>
      </c>
      <c r="C6" s="22">
        <v>2000</v>
      </c>
      <c r="E6" s="21" t="s">
        <v>125</v>
      </c>
      <c r="F6" s="23" t="str">
        <f>VLOOKUP(E6,$A$5:$C$17,2,FALSE)</f>
        <v>Bruna Alves</v>
      </c>
      <c r="G6" s="24">
        <f>VLOOKUP(E6,$A$5:$C$17,3,0)</f>
        <v>2000</v>
      </c>
    </row>
    <row r="7" spans="1:7" ht="18.45">
      <c r="A7" s="21" t="s">
        <v>98</v>
      </c>
      <c r="B7" s="21" t="s">
        <v>127</v>
      </c>
      <c r="C7" s="22">
        <v>2500</v>
      </c>
      <c r="E7" s="21" t="s">
        <v>98</v>
      </c>
      <c r="F7" s="23" t="str">
        <f t="shared" ref="F7:F17" si="0">VLOOKUP(E7,$A$5:$C$17,2,FALSE)</f>
        <v>Afonso Alves</v>
      </c>
      <c r="G7" s="24">
        <f t="shared" ref="G7:G17" si="1">VLOOKUP(E7,$A$5:$C$17,3,0)</f>
        <v>2500</v>
      </c>
    </row>
    <row r="8" spans="1:7" ht="18.45">
      <c r="A8" s="21" t="s">
        <v>128</v>
      </c>
      <c r="B8" s="21" t="s">
        <v>129</v>
      </c>
      <c r="C8" s="22">
        <v>3000</v>
      </c>
      <c r="E8" s="21" t="s">
        <v>128</v>
      </c>
      <c r="F8" s="23" t="str">
        <f t="shared" si="0"/>
        <v>Caroline Gois Abreu</v>
      </c>
      <c r="G8" s="24">
        <f t="shared" si="1"/>
        <v>3000</v>
      </c>
    </row>
    <row r="9" spans="1:7" ht="18.45">
      <c r="A9" s="21" t="s">
        <v>130</v>
      </c>
      <c r="B9" s="21" t="s">
        <v>131</v>
      </c>
      <c r="C9" s="22">
        <v>3000</v>
      </c>
      <c r="E9" s="21" t="s">
        <v>130</v>
      </c>
      <c r="F9" s="23" t="str">
        <f t="shared" si="0"/>
        <v>Henrique Oliveira Silva</v>
      </c>
      <c r="G9" s="24">
        <f t="shared" si="1"/>
        <v>3000</v>
      </c>
    </row>
    <row r="10" spans="1:7" ht="18.45">
      <c r="A10" s="21" t="s">
        <v>101</v>
      </c>
      <c r="B10" s="21" t="s">
        <v>132</v>
      </c>
      <c r="C10" s="22">
        <v>2000</v>
      </c>
      <c r="E10" s="21" t="s">
        <v>101</v>
      </c>
      <c r="F10" s="23" t="str">
        <f t="shared" si="0"/>
        <v>Kaliane Almeida Abreu</v>
      </c>
      <c r="G10" s="24">
        <f t="shared" si="1"/>
        <v>2000</v>
      </c>
    </row>
    <row r="11" spans="1:7" ht="18.45">
      <c r="A11" s="21" t="s">
        <v>102</v>
      </c>
      <c r="B11" s="21" t="s">
        <v>133</v>
      </c>
      <c r="C11" s="22">
        <v>2000</v>
      </c>
      <c r="E11" s="21" t="s">
        <v>102</v>
      </c>
      <c r="F11" s="23" t="str">
        <f t="shared" si="0"/>
        <v>Ryan Merryman</v>
      </c>
      <c r="G11" s="24">
        <f t="shared" si="1"/>
        <v>2000</v>
      </c>
    </row>
    <row r="12" spans="1:7" ht="18.45">
      <c r="A12" s="21" t="s">
        <v>103</v>
      </c>
      <c r="B12" s="21" t="s">
        <v>134</v>
      </c>
      <c r="C12" s="22">
        <v>2000</v>
      </c>
      <c r="E12" s="21" t="s">
        <v>103</v>
      </c>
      <c r="F12" s="23" t="str">
        <f t="shared" si="0"/>
        <v>Robson Martins</v>
      </c>
      <c r="G12" s="24">
        <f t="shared" si="1"/>
        <v>2000</v>
      </c>
    </row>
    <row r="13" spans="1:7" ht="18.45">
      <c r="A13" s="21" t="s">
        <v>104</v>
      </c>
      <c r="B13" s="21" t="s">
        <v>135</v>
      </c>
      <c r="C13" s="22">
        <v>5000</v>
      </c>
      <c r="E13" s="21" t="s">
        <v>104</v>
      </c>
      <c r="F13" s="23" t="str">
        <f t="shared" si="0"/>
        <v>Thiago Santana Gomes</v>
      </c>
      <c r="G13" s="24">
        <f t="shared" si="1"/>
        <v>5000</v>
      </c>
    </row>
    <row r="14" spans="1:7" ht="18.45">
      <c r="A14" s="21" t="s">
        <v>136</v>
      </c>
      <c r="B14" s="21" t="s">
        <v>137</v>
      </c>
      <c r="C14" s="22">
        <v>5000</v>
      </c>
      <c r="E14" s="21" t="s">
        <v>136</v>
      </c>
      <c r="F14" s="23" t="str">
        <f t="shared" si="0"/>
        <v>Erika Souza Aguiar</v>
      </c>
      <c r="G14" s="24">
        <f t="shared" si="1"/>
        <v>5000</v>
      </c>
    </row>
    <row r="15" spans="1:7" ht="18.45">
      <c r="A15" s="21" t="s">
        <v>138</v>
      </c>
      <c r="B15" s="21" t="s">
        <v>139</v>
      </c>
      <c r="C15" s="22">
        <v>5000</v>
      </c>
      <c r="E15" s="21" t="s">
        <v>138</v>
      </c>
      <c r="F15" s="23" t="str">
        <f t="shared" si="0"/>
        <v>Felipe Borges Aguiar</v>
      </c>
      <c r="G15" s="24">
        <f t="shared" si="1"/>
        <v>5000</v>
      </c>
    </row>
    <row r="16" spans="1:7" ht="18.45">
      <c r="A16" s="21" t="s">
        <v>140</v>
      </c>
      <c r="B16" s="21" t="s">
        <v>141</v>
      </c>
      <c r="C16" s="22">
        <v>4000</v>
      </c>
      <c r="E16" s="21" t="s">
        <v>140</v>
      </c>
      <c r="F16" s="23" t="str">
        <f t="shared" si="0"/>
        <v>Tiago de Oliveira</v>
      </c>
      <c r="G16" s="24">
        <f t="shared" si="1"/>
        <v>4000</v>
      </c>
    </row>
    <row r="17" spans="1:7" ht="18.45">
      <c r="A17" s="21" t="s">
        <v>142</v>
      </c>
      <c r="B17" s="21" t="s">
        <v>143</v>
      </c>
      <c r="C17" s="22">
        <v>4000</v>
      </c>
      <c r="E17" s="21" t="s">
        <v>142</v>
      </c>
      <c r="F17" s="23" t="str">
        <f t="shared" si="0"/>
        <v>Frederico Rubens</v>
      </c>
      <c r="G17" s="24">
        <f t="shared" si="1"/>
        <v>4000</v>
      </c>
    </row>
    <row r="18" spans="1:7">
      <c r="C18" s="18"/>
    </row>
    <row r="19" spans="1:7">
      <c r="C19" s="18"/>
    </row>
    <row r="20" spans="1:7">
      <c r="A20" s="25" t="s">
        <v>162</v>
      </c>
      <c r="B20" s="25"/>
      <c r="C20" s="25"/>
      <c r="D20" s="25"/>
      <c r="E20" s="25"/>
      <c r="F20" s="25"/>
      <c r="G20" s="25"/>
    </row>
    <row r="21" spans="1:7">
      <c r="A21" s="25"/>
      <c r="B21" s="25"/>
      <c r="C21" s="25"/>
      <c r="D21" s="25"/>
      <c r="E21" s="25"/>
      <c r="F21" s="25"/>
      <c r="G21" s="25"/>
    </row>
    <row r="22" spans="1:7">
      <c r="A22" s="25"/>
      <c r="B22" s="25"/>
      <c r="C22" s="25"/>
      <c r="D22" s="25"/>
      <c r="E22" s="25"/>
      <c r="F22" s="25"/>
      <c r="G22" s="25"/>
    </row>
    <row r="23" spans="1:7">
      <c r="A23" s="25"/>
      <c r="B23" s="25"/>
      <c r="C23" s="25"/>
      <c r="D23" s="25"/>
      <c r="E23" s="25"/>
      <c r="F23" s="25"/>
      <c r="G23" s="25"/>
    </row>
    <row r="24" spans="1:7">
      <c r="C24" s="18"/>
    </row>
    <row r="25" spans="1:7" ht="20.6">
      <c r="A25" s="26" t="s">
        <v>144</v>
      </c>
      <c r="C25" s="18"/>
    </row>
    <row r="26" spans="1:7" ht="20.6">
      <c r="A26" s="27"/>
      <c r="C26" s="18"/>
    </row>
    <row r="27" spans="1:7">
      <c r="A27" s="25" t="s">
        <v>145</v>
      </c>
      <c r="B27" s="25"/>
      <c r="C27" s="25"/>
      <c r="D27" s="25"/>
      <c r="E27" s="25"/>
      <c r="F27" s="25"/>
      <c r="G27" s="25"/>
    </row>
    <row r="28" spans="1:7">
      <c r="A28" s="25"/>
      <c r="B28" s="25"/>
      <c r="C28" s="25"/>
      <c r="D28" s="25"/>
      <c r="E28" s="25"/>
      <c r="F28" s="25"/>
      <c r="G28" s="25"/>
    </row>
    <row r="29" spans="1:7" ht="35.15" customHeight="1">
      <c r="A29" s="25"/>
      <c r="B29" s="25"/>
      <c r="C29" s="25"/>
      <c r="D29" s="25"/>
      <c r="E29" s="25"/>
      <c r="F29" s="25"/>
      <c r="G29" s="25"/>
    </row>
    <row r="30" spans="1:7" ht="20.6">
      <c r="A30" s="27"/>
      <c r="C30" s="18"/>
    </row>
    <row r="31" spans="1:7" ht="20.6">
      <c r="A31" s="26" t="s">
        <v>146</v>
      </c>
      <c r="C31" s="18"/>
    </row>
    <row r="32" spans="1:7" ht="20.6">
      <c r="A32" s="27"/>
      <c r="C32" s="18"/>
    </row>
    <row r="33" spans="1:7" ht="20.6">
      <c r="A33" s="27" t="s">
        <v>147</v>
      </c>
      <c r="C33" s="18"/>
    </row>
    <row r="34" spans="1:7" ht="20.6">
      <c r="A34" s="28"/>
      <c r="C34" s="18"/>
    </row>
    <row r="35" spans="1:7" ht="19.75">
      <c r="A35" s="29"/>
      <c r="C35" s="18"/>
    </row>
    <row r="36" spans="1:7" ht="19.75">
      <c r="A36" s="29" t="s">
        <v>148</v>
      </c>
      <c r="C36" s="18"/>
    </row>
    <row r="37" spans="1:7" ht="20.6">
      <c r="A37" s="30"/>
      <c r="C37" s="18"/>
    </row>
    <row r="38" spans="1:7">
      <c r="A38" s="31" t="s">
        <v>149</v>
      </c>
      <c r="B38" s="31"/>
      <c r="C38" s="31"/>
      <c r="D38" s="31"/>
      <c r="E38" s="31"/>
      <c r="F38" s="31"/>
      <c r="G38" s="31"/>
    </row>
    <row r="39" spans="1:7" ht="25.75" customHeight="1">
      <c r="A39" s="31"/>
      <c r="B39" s="31"/>
      <c r="C39" s="31"/>
      <c r="D39" s="31"/>
      <c r="E39" s="31"/>
      <c r="F39" s="31"/>
      <c r="G39" s="31"/>
    </row>
    <row r="40" spans="1:7" ht="20.6">
      <c r="A40" s="30"/>
      <c r="C40" s="18"/>
    </row>
    <row r="41" spans="1:7">
      <c r="A41" s="31" t="s">
        <v>150</v>
      </c>
      <c r="B41" s="31"/>
      <c r="C41" s="31"/>
      <c r="D41" s="31"/>
      <c r="E41" s="31"/>
      <c r="F41" s="31"/>
      <c r="G41" s="31"/>
    </row>
    <row r="42" spans="1:7" ht="24" customHeight="1">
      <c r="A42" s="31"/>
      <c r="B42" s="31"/>
      <c r="C42" s="31"/>
      <c r="D42" s="31"/>
      <c r="E42" s="31"/>
      <c r="F42" s="31"/>
      <c r="G42" s="31"/>
    </row>
    <row r="43" spans="1:7" ht="20.6">
      <c r="A43" s="30"/>
      <c r="C43" s="18"/>
    </row>
    <row r="44" spans="1:7">
      <c r="A44" s="31" t="s">
        <v>151</v>
      </c>
      <c r="B44" s="31"/>
      <c r="C44" s="31"/>
      <c r="D44" s="31"/>
      <c r="E44" s="31"/>
      <c r="F44" s="31"/>
      <c r="G44" s="31"/>
    </row>
    <row r="45" spans="1:7" ht="27.45" customHeight="1">
      <c r="A45" s="31"/>
      <c r="B45" s="31"/>
      <c r="C45" s="31"/>
      <c r="D45" s="31"/>
      <c r="E45" s="31"/>
      <c r="F45" s="31"/>
      <c r="G45" s="31"/>
    </row>
    <row r="46" spans="1:7" ht="20.6">
      <c r="A46" s="30"/>
      <c r="C46" s="18"/>
    </row>
    <row r="47" spans="1:7">
      <c r="A47" s="31" t="s">
        <v>152</v>
      </c>
      <c r="B47" s="31"/>
      <c r="C47" s="31"/>
      <c r="D47" s="31"/>
      <c r="E47" s="31"/>
      <c r="F47" s="31"/>
      <c r="G47" s="31"/>
    </row>
    <row r="48" spans="1:7">
      <c r="A48" s="31"/>
      <c r="B48" s="31"/>
      <c r="C48" s="31"/>
      <c r="D48" s="31"/>
      <c r="E48" s="31"/>
      <c r="F48" s="31"/>
      <c r="G48" s="31"/>
    </row>
    <row r="49" spans="1:7" ht="29.15" customHeight="1">
      <c r="A49" s="31"/>
      <c r="B49" s="31"/>
      <c r="C49" s="31"/>
      <c r="D49" s="31"/>
      <c r="E49" s="31"/>
      <c r="F49" s="31"/>
      <c r="G49" s="31"/>
    </row>
    <row r="50" spans="1:7" ht="20.6">
      <c r="A50" s="27"/>
      <c r="C50" s="18"/>
    </row>
    <row r="51" spans="1:7" ht="20.6">
      <c r="A51" s="26" t="s">
        <v>163</v>
      </c>
      <c r="C51" s="18"/>
    </row>
    <row r="52" spans="1:7" ht="20.6">
      <c r="A52" s="27"/>
      <c r="C52" s="18"/>
    </row>
    <row r="53" spans="1:7" ht="20.6">
      <c r="A53" s="27" t="s">
        <v>164</v>
      </c>
      <c r="C53" s="18"/>
    </row>
    <row r="54" spans="1:7" ht="20.6">
      <c r="A54" s="30"/>
      <c r="C54" s="18"/>
    </row>
    <row r="55" spans="1:7" ht="20.6">
      <c r="A55" s="32" t="s">
        <v>153</v>
      </c>
      <c r="C55" s="18"/>
    </row>
    <row r="56" spans="1:7" ht="20.6">
      <c r="A56" s="30"/>
      <c r="C56" s="18"/>
    </row>
    <row r="57" spans="1:7">
      <c r="A57" s="31" t="s">
        <v>165</v>
      </c>
      <c r="B57" s="31"/>
      <c r="C57" s="31"/>
      <c r="D57" s="31"/>
      <c r="E57" s="31"/>
      <c r="F57" s="31"/>
      <c r="G57" s="31"/>
    </row>
    <row r="58" spans="1:7">
      <c r="A58" s="31"/>
      <c r="B58" s="31"/>
      <c r="C58" s="31"/>
      <c r="D58" s="31"/>
      <c r="E58" s="31"/>
      <c r="F58" s="31"/>
      <c r="G58" s="31"/>
    </row>
    <row r="59" spans="1:7" ht="31.75" customHeight="1">
      <c r="A59" s="31"/>
      <c r="B59" s="31"/>
      <c r="C59" s="31"/>
      <c r="D59" s="31"/>
      <c r="E59" s="31"/>
      <c r="F59" s="31"/>
      <c r="G59" s="31"/>
    </row>
    <row r="60" spans="1:7" ht="20.6">
      <c r="A60" s="30"/>
      <c r="C60" s="18"/>
    </row>
    <row r="61" spans="1:7" ht="20.6">
      <c r="A61" s="32" t="s">
        <v>154</v>
      </c>
      <c r="C61" s="18"/>
    </row>
    <row r="62" spans="1:7" ht="20.6">
      <c r="A62" s="30"/>
      <c r="C62" s="18"/>
    </row>
    <row r="63" spans="1:7" ht="20.6">
      <c r="A63" s="32" t="s">
        <v>155</v>
      </c>
      <c r="C63" s="18"/>
    </row>
    <row r="64" spans="1:7" ht="20.6">
      <c r="A64" s="27"/>
      <c r="C64" s="18"/>
    </row>
    <row r="65" spans="1:7" ht="20.6">
      <c r="A65" s="26" t="s">
        <v>156</v>
      </c>
      <c r="C65" s="18"/>
    </row>
    <row r="66" spans="1:7" ht="20.6">
      <c r="A66" s="27"/>
      <c r="C66" s="18"/>
    </row>
    <row r="67" spans="1:7">
      <c r="A67" s="25" t="s">
        <v>166</v>
      </c>
      <c r="B67" s="25"/>
      <c r="C67" s="25"/>
      <c r="D67" s="25"/>
      <c r="E67" s="25"/>
      <c r="F67" s="25"/>
      <c r="G67" s="25"/>
    </row>
    <row r="68" spans="1:7">
      <c r="A68" s="25"/>
      <c r="B68" s="25"/>
      <c r="C68" s="25"/>
      <c r="D68" s="25"/>
      <c r="E68" s="25"/>
      <c r="F68" s="25"/>
      <c r="G68" s="25"/>
    </row>
    <row r="69" spans="1:7">
      <c r="A69" s="25"/>
      <c r="B69" s="25"/>
      <c r="C69" s="25"/>
      <c r="D69" s="25"/>
      <c r="E69" s="25"/>
      <c r="F69" s="25"/>
      <c r="G69" s="25"/>
    </row>
    <row r="70" spans="1:7" ht="39" customHeight="1">
      <c r="A70" s="25"/>
      <c r="B70" s="25"/>
      <c r="C70" s="25"/>
      <c r="D70" s="25"/>
      <c r="E70" s="25"/>
      <c r="F70" s="25"/>
      <c r="G70" s="25"/>
    </row>
    <row r="71" spans="1:7" ht="20.6">
      <c r="A71" s="27"/>
      <c r="C71" s="18"/>
    </row>
    <row r="72" spans="1:7" ht="20.6">
      <c r="A72" s="26" t="s">
        <v>157</v>
      </c>
      <c r="C72" s="18"/>
    </row>
    <row r="73" spans="1:7" ht="20.6">
      <c r="A73" s="30"/>
      <c r="C73" s="18"/>
    </row>
    <row r="74" spans="1:7" ht="20.6">
      <c r="A74" s="30" t="s">
        <v>158</v>
      </c>
      <c r="C74" s="18"/>
    </row>
    <row r="75" spans="1:7" ht="20.6">
      <c r="A75" s="30"/>
      <c r="C75" s="18"/>
    </row>
    <row r="76" spans="1:7">
      <c r="A76" s="33" t="s">
        <v>159</v>
      </c>
      <c r="B76" s="33"/>
      <c r="C76" s="33"/>
      <c r="D76" s="33"/>
      <c r="E76" s="33"/>
      <c r="F76" s="33"/>
      <c r="G76" s="33"/>
    </row>
    <row r="77" spans="1:7">
      <c r="A77" s="33"/>
      <c r="B77" s="33"/>
      <c r="C77" s="33"/>
      <c r="D77" s="33"/>
      <c r="E77" s="33"/>
      <c r="F77" s="33"/>
      <c r="G77" s="33"/>
    </row>
    <row r="78" spans="1:7">
      <c r="A78" s="33"/>
      <c r="B78" s="33"/>
      <c r="C78" s="33"/>
      <c r="D78" s="33"/>
      <c r="E78" s="33"/>
      <c r="F78" s="33"/>
      <c r="G78" s="33"/>
    </row>
    <row r="79" spans="1:7" ht="20.6">
      <c r="A79" s="30" t="s">
        <v>160</v>
      </c>
      <c r="C79" s="18"/>
    </row>
    <row r="80" spans="1:7" ht="20.6">
      <c r="A80" s="27"/>
      <c r="C80" s="18"/>
    </row>
    <row r="81" spans="1:7">
      <c r="A81" s="33" t="s">
        <v>161</v>
      </c>
      <c r="B81" s="33"/>
      <c r="C81" s="33"/>
      <c r="D81" s="33"/>
      <c r="E81" s="33"/>
      <c r="F81" s="33"/>
      <c r="G81" s="33"/>
    </row>
    <row r="82" spans="1:7">
      <c r="A82" s="33"/>
      <c r="B82" s="33"/>
      <c r="C82" s="33"/>
      <c r="D82" s="33"/>
      <c r="E82" s="33"/>
      <c r="F82" s="33"/>
      <c r="G82" s="33"/>
    </row>
    <row r="83" spans="1:7" ht="12.9" customHeight="1">
      <c r="A83" s="33"/>
      <c r="B83" s="33"/>
      <c r="C83" s="33"/>
      <c r="D83" s="33"/>
      <c r="E83" s="33"/>
      <c r="F83" s="33"/>
      <c r="G83" s="33"/>
    </row>
    <row r="84" spans="1:7" ht="8.15" customHeight="1">
      <c r="A84" s="33"/>
      <c r="B84" s="33"/>
      <c r="C84" s="33"/>
      <c r="D84" s="33"/>
      <c r="E84" s="33"/>
      <c r="F84" s="33"/>
      <c r="G84" s="33"/>
    </row>
  </sheetData>
  <mergeCells count="10">
    <mergeCell ref="A57:G59"/>
    <mergeCell ref="A67:G70"/>
    <mergeCell ref="A76:G78"/>
    <mergeCell ref="A81:G84"/>
    <mergeCell ref="A20:G23"/>
    <mergeCell ref="A27:G29"/>
    <mergeCell ref="A38:G39"/>
    <mergeCell ref="A41:G42"/>
    <mergeCell ref="A44:G45"/>
    <mergeCell ref="A47:G49"/>
  </mergeCells>
  <conditionalFormatting sqref="D72">
    <cfRule type="containsText" dxfId="1" priority="2" operator="containsText" text=" =PROCV(E7;$A$5:$C$17;2;0)">
      <formula>NOT(ISERROR(SEARCH(" =PROCV(E7;$A$5:$C$17;2;0)",D72)))</formula>
    </cfRule>
  </conditionalFormatting>
  <conditionalFormatting sqref="A67">
    <cfRule type="cellIs" dxfId="0" priority="1" operator="equal">
      <formula>" =PROCV(E7;$A$5:$C$17;2;0)"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voltarTelaPrincipal">
                <anchor moveWithCells="1" sizeWithCells="1">
                  <from>
                    <xdr:col>5</xdr:col>
                    <xdr:colOff>1001486</xdr:colOff>
                    <xdr:row>1</xdr:row>
                    <xdr:rowOff>391886</xdr:rowOff>
                  </from>
                  <to>
                    <xdr:col>6</xdr:col>
                    <xdr:colOff>979714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AD0DF-3FBD-410D-867C-2B661E43BDC0}">
  <sheetPr codeName="Planilha6"/>
  <dimension ref="A2:F75"/>
  <sheetViews>
    <sheetView showGridLines="0" workbookViewId="0">
      <selection activeCell="G5" sqref="G5"/>
    </sheetView>
  </sheetViews>
  <sheetFormatPr defaultRowHeight="14.6"/>
  <cols>
    <col min="1" max="1" width="43.61328125" customWidth="1"/>
    <col min="2" max="2" width="34.84375" bestFit="1" customWidth="1"/>
    <col min="3" max="3" width="8.3828125" bestFit="1" customWidth="1"/>
    <col min="5" max="5" width="57" bestFit="1" customWidth="1"/>
  </cols>
  <sheetData>
    <row r="2" spans="1:6" ht="28.3">
      <c r="A2" s="34" t="s">
        <v>167</v>
      </c>
      <c r="B2" s="18"/>
      <c r="C2" s="2"/>
    </row>
    <row r="3" spans="1:6">
      <c r="A3" s="35"/>
      <c r="B3" s="18"/>
      <c r="C3" s="2"/>
    </row>
    <row r="4" spans="1:6" ht="23.6">
      <c r="A4" s="36" t="s">
        <v>91</v>
      </c>
      <c r="B4" s="36" t="s">
        <v>123</v>
      </c>
      <c r="C4" s="37" t="s">
        <v>168</v>
      </c>
      <c r="D4" s="27"/>
      <c r="E4" s="38" t="s">
        <v>169</v>
      </c>
    </row>
    <row r="5" spans="1:6" ht="34.75">
      <c r="A5" s="39" t="s">
        <v>125</v>
      </c>
      <c r="B5" s="39" t="s">
        <v>126</v>
      </c>
      <c r="C5" s="40">
        <v>23</v>
      </c>
      <c r="D5" s="27"/>
      <c r="E5" s="41">
        <f>COUNTIF(C5:C16,"30")</f>
        <v>3</v>
      </c>
    </row>
    <row r="6" spans="1:6" ht="26.15">
      <c r="A6" s="39" t="s">
        <v>98</v>
      </c>
      <c r="B6" s="39" t="s">
        <v>127</v>
      </c>
      <c r="C6" s="40">
        <v>23</v>
      </c>
      <c r="D6" s="27"/>
      <c r="E6" s="38"/>
      <c r="F6" s="38"/>
    </row>
    <row r="7" spans="1:6" ht="26.15">
      <c r="A7" s="39" t="s">
        <v>98</v>
      </c>
      <c r="B7" s="39" t="s">
        <v>127</v>
      </c>
      <c r="C7" s="40">
        <v>23</v>
      </c>
      <c r="D7" s="27"/>
      <c r="E7" s="38" t="s">
        <v>170</v>
      </c>
      <c r="F7" s="38"/>
    </row>
    <row r="8" spans="1:6" ht="34.75">
      <c r="A8" s="39"/>
      <c r="B8" s="39" t="s">
        <v>131</v>
      </c>
      <c r="C8" s="40">
        <v>26</v>
      </c>
      <c r="D8" s="27"/>
      <c r="E8" s="41">
        <f>COUNTIF(C5:C16,"&lt;30")</f>
        <v>8</v>
      </c>
      <c r="F8" s="38"/>
    </row>
    <row r="9" spans="1:6" ht="26.15">
      <c r="A9" s="39" t="s">
        <v>101</v>
      </c>
      <c r="B9" s="39" t="s">
        <v>132</v>
      </c>
      <c r="C9" s="40">
        <v>26</v>
      </c>
      <c r="D9" s="27"/>
      <c r="E9" s="38"/>
      <c r="F9" s="38"/>
    </row>
    <row r="10" spans="1:6" ht="26.15">
      <c r="A10" s="39" t="s">
        <v>102</v>
      </c>
      <c r="B10" s="39" t="s">
        <v>133</v>
      </c>
      <c r="C10" s="40">
        <v>26</v>
      </c>
      <c r="D10" s="27"/>
      <c r="E10" s="38" t="s">
        <v>171</v>
      </c>
      <c r="F10" s="38"/>
    </row>
    <row r="11" spans="1:6" ht="34.75">
      <c r="A11" s="39" t="s">
        <v>103</v>
      </c>
      <c r="B11" s="39" t="s">
        <v>134</v>
      </c>
      <c r="C11" s="40">
        <v>23</v>
      </c>
      <c r="D11" s="27"/>
      <c r="E11" s="41">
        <f>COUNTIF(C5:C16,"&lt;&gt;30")</f>
        <v>9</v>
      </c>
      <c r="F11" s="38"/>
    </row>
    <row r="12" spans="1:6" ht="26.15">
      <c r="A12" s="39"/>
      <c r="B12" s="39" t="s">
        <v>135</v>
      </c>
      <c r="C12" s="40">
        <v>30</v>
      </c>
      <c r="D12" s="27"/>
      <c r="E12" s="38"/>
      <c r="F12" s="38"/>
    </row>
    <row r="13" spans="1:6" ht="26.15">
      <c r="A13" s="39" t="s">
        <v>136</v>
      </c>
      <c r="B13" s="39" t="s">
        <v>137</v>
      </c>
      <c r="C13" s="40">
        <v>23</v>
      </c>
      <c r="D13" s="27"/>
      <c r="E13" s="38" t="s">
        <v>172</v>
      </c>
      <c r="F13" s="38"/>
    </row>
    <row r="14" spans="1:6" ht="34.75">
      <c r="A14" s="39" t="s">
        <v>138</v>
      </c>
      <c r="B14" s="39" t="s">
        <v>139</v>
      </c>
      <c r="C14" s="40">
        <v>30</v>
      </c>
      <c r="D14" s="27"/>
      <c r="E14" s="41">
        <f>COUNTIF(A5:A16,"")</f>
        <v>2</v>
      </c>
      <c r="F14" s="38"/>
    </row>
    <row r="15" spans="1:6" ht="26.15">
      <c r="A15" s="39" t="s">
        <v>140</v>
      </c>
      <c r="B15" s="39" t="s">
        <v>141</v>
      </c>
      <c r="C15" s="40">
        <v>45</v>
      </c>
      <c r="D15" s="27"/>
      <c r="E15" s="38"/>
      <c r="F15" s="38"/>
    </row>
    <row r="16" spans="1:6" ht="26.15">
      <c r="A16" s="39" t="s">
        <v>142</v>
      </c>
      <c r="B16" s="39" t="s">
        <v>143</v>
      </c>
      <c r="C16" s="40">
        <v>30</v>
      </c>
      <c r="D16" s="27"/>
      <c r="E16" s="38" t="s">
        <v>173</v>
      </c>
      <c r="F16" s="27"/>
    </row>
    <row r="17" spans="1:6" ht="34.75">
      <c r="A17" s="35"/>
      <c r="B17" s="18"/>
      <c r="C17" s="2"/>
      <c r="E17" s="41">
        <f>COUNTIF(A5:A16,"&lt;&gt;"&amp;"")</f>
        <v>10</v>
      </c>
    </row>
    <row r="18" spans="1:6">
      <c r="A18" s="35"/>
      <c r="B18" s="18"/>
      <c r="C18" s="2"/>
    </row>
    <row r="19" spans="1:6">
      <c r="A19" s="35"/>
      <c r="B19" s="18"/>
      <c r="C19" s="2"/>
    </row>
    <row r="20" spans="1:6">
      <c r="A20" s="35"/>
      <c r="B20" s="18"/>
      <c r="C20" s="2"/>
    </row>
    <row r="21" spans="1:6">
      <c r="A21" s="35"/>
      <c r="B21" s="18"/>
      <c r="C21" s="2"/>
    </row>
    <row r="22" spans="1:6">
      <c r="A22" s="35"/>
      <c r="B22" s="18"/>
      <c r="C22" s="2"/>
    </row>
    <row r="23" spans="1:6">
      <c r="A23" s="35"/>
      <c r="B23" s="18"/>
      <c r="C23" s="2"/>
    </row>
    <row r="24" spans="1:6">
      <c r="A24" s="33" t="s">
        <v>174</v>
      </c>
      <c r="B24" s="33"/>
      <c r="C24" s="33"/>
      <c r="D24" s="33"/>
      <c r="E24" s="33"/>
      <c r="F24" s="33"/>
    </row>
    <row r="25" spans="1:6">
      <c r="A25" s="33"/>
      <c r="B25" s="33"/>
      <c r="C25" s="33"/>
      <c r="D25" s="33"/>
      <c r="E25" s="33"/>
      <c r="F25" s="33"/>
    </row>
    <row r="26" spans="1:6">
      <c r="A26" s="33"/>
      <c r="B26" s="33"/>
      <c r="C26" s="33"/>
      <c r="D26" s="33"/>
      <c r="E26" s="33"/>
      <c r="F26" s="33"/>
    </row>
    <row r="27" spans="1:6" ht="20.6">
      <c r="A27" s="27"/>
      <c r="B27" s="18"/>
      <c r="C27" s="2"/>
    </row>
    <row r="28" spans="1:6" ht="20.6">
      <c r="A28" s="26" t="s">
        <v>175</v>
      </c>
      <c r="B28" s="18"/>
      <c r="C28" s="2"/>
    </row>
    <row r="29" spans="1:6" ht="20.6">
      <c r="A29" s="27"/>
      <c r="B29" s="18"/>
      <c r="C29" s="2"/>
    </row>
    <row r="30" spans="1:6">
      <c r="A30" s="33" t="s">
        <v>176</v>
      </c>
      <c r="B30" s="33"/>
      <c r="C30" s="33"/>
      <c r="D30" s="33"/>
      <c r="E30" s="33"/>
      <c r="F30" s="33"/>
    </row>
    <row r="31" spans="1:6">
      <c r="A31" s="33"/>
      <c r="B31" s="33"/>
      <c r="C31" s="33"/>
      <c r="D31" s="33"/>
      <c r="E31" s="33"/>
      <c r="F31" s="33"/>
    </row>
    <row r="32" spans="1:6">
      <c r="A32" s="33"/>
      <c r="B32" s="33"/>
      <c r="C32" s="33"/>
      <c r="D32" s="33"/>
      <c r="E32" s="33"/>
      <c r="F32" s="33"/>
    </row>
    <row r="33" spans="1:3" ht="20.6">
      <c r="A33" s="27"/>
      <c r="B33" s="18"/>
      <c r="C33" s="2"/>
    </row>
    <row r="34" spans="1:3" ht="20.6">
      <c r="A34" s="26" t="s">
        <v>177</v>
      </c>
      <c r="B34" s="18"/>
      <c r="C34" s="2"/>
    </row>
    <row r="35" spans="1:3" ht="20.6">
      <c r="A35" s="27"/>
      <c r="B35" s="18"/>
      <c r="C35" s="2"/>
    </row>
    <row r="36" spans="1:3" ht="20.6">
      <c r="A36" s="27" t="s">
        <v>178</v>
      </c>
      <c r="B36" s="18"/>
      <c r="C36" s="2"/>
    </row>
    <row r="37" spans="1:3" ht="20.6">
      <c r="A37" s="28"/>
      <c r="B37" s="18"/>
      <c r="C37" s="2"/>
    </row>
    <row r="38" spans="1:3" ht="20.6">
      <c r="A38" s="28"/>
      <c r="B38" s="18"/>
      <c r="C38" s="2"/>
    </row>
    <row r="39" spans="1:3" ht="19.75">
      <c r="A39" s="42" t="s">
        <v>179</v>
      </c>
      <c r="B39" s="18"/>
      <c r="C39" s="2"/>
    </row>
    <row r="40" spans="1:3" ht="20.6">
      <c r="A40" s="30"/>
      <c r="B40" s="18"/>
      <c r="C40" s="2"/>
    </row>
    <row r="41" spans="1:3" ht="20.6">
      <c r="A41" s="32" t="s">
        <v>180</v>
      </c>
      <c r="B41" s="18"/>
      <c r="C41" s="2"/>
    </row>
    <row r="42" spans="1:3" ht="20.6">
      <c r="A42" s="30"/>
      <c r="B42" s="18"/>
      <c r="C42" s="2"/>
    </row>
    <row r="43" spans="1:3" ht="20.6">
      <c r="A43" s="32" t="s">
        <v>181</v>
      </c>
      <c r="B43" s="18"/>
      <c r="C43" s="2"/>
    </row>
    <row r="44" spans="1:3" ht="20.6">
      <c r="A44" s="27"/>
      <c r="B44" s="18"/>
      <c r="C44" s="2"/>
    </row>
    <row r="45" spans="1:3" ht="20.6">
      <c r="A45" s="26" t="s">
        <v>182</v>
      </c>
      <c r="B45" s="18"/>
      <c r="C45" s="2"/>
    </row>
    <row r="46" spans="1:3" ht="20.6">
      <c r="A46" s="27"/>
      <c r="B46" s="18"/>
      <c r="C46" s="2"/>
    </row>
    <row r="47" spans="1:3" ht="20.6">
      <c r="A47" s="27" t="s">
        <v>183</v>
      </c>
      <c r="B47" s="18"/>
      <c r="C47" s="2"/>
    </row>
    <row r="48" spans="1:3" ht="20.6">
      <c r="A48" s="30"/>
      <c r="B48" s="18"/>
      <c r="C48" s="2"/>
    </row>
    <row r="49" spans="1:6" ht="20.6">
      <c r="A49" s="32" t="s">
        <v>184</v>
      </c>
      <c r="B49" s="18"/>
      <c r="C49" s="2"/>
    </row>
    <row r="50" spans="1:6" ht="20.6">
      <c r="A50" s="30"/>
      <c r="B50" s="18"/>
      <c r="C50" s="2"/>
    </row>
    <row r="51" spans="1:6">
      <c r="A51" s="31" t="s">
        <v>185</v>
      </c>
      <c r="B51" s="31"/>
      <c r="C51" s="31"/>
      <c r="D51" s="31"/>
      <c r="E51" s="31"/>
      <c r="F51" s="31"/>
    </row>
    <row r="52" spans="1:6" ht="28.3" customHeight="1">
      <c r="A52" s="31"/>
      <c r="B52" s="31"/>
      <c r="C52" s="31"/>
      <c r="D52" s="31"/>
      <c r="E52" s="31"/>
      <c r="F52" s="31"/>
    </row>
    <row r="53" spans="1:6" ht="20.6">
      <c r="A53" s="27"/>
      <c r="B53" s="18"/>
      <c r="C53" s="2"/>
    </row>
    <row r="54" spans="1:6" ht="20.6">
      <c r="A54" s="26" t="s">
        <v>156</v>
      </c>
      <c r="B54" s="18"/>
      <c r="C54" s="2"/>
    </row>
    <row r="55" spans="1:6" ht="20.6">
      <c r="A55" s="27"/>
      <c r="B55" s="18"/>
      <c r="C55" s="2"/>
    </row>
    <row r="56" spans="1:6">
      <c r="A56" s="25" t="s">
        <v>186</v>
      </c>
      <c r="B56" s="25"/>
      <c r="C56" s="25"/>
      <c r="D56" s="25"/>
      <c r="E56" s="25"/>
      <c r="F56" s="25"/>
    </row>
    <row r="57" spans="1:6">
      <c r="A57" s="25"/>
      <c r="B57" s="25"/>
      <c r="C57" s="25"/>
      <c r="D57" s="25"/>
      <c r="E57" s="25"/>
      <c r="F57" s="25"/>
    </row>
    <row r="58" spans="1:6">
      <c r="A58" s="25"/>
      <c r="B58" s="25"/>
      <c r="C58" s="25"/>
      <c r="D58" s="25"/>
      <c r="E58" s="25"/>
      <c r="F58" s="25"/>
    </row>
    <row r="59" spans="1:6" ht="20.6">
      <c r="A59" s="27"/>
      <c r="B59" s="18"/>
      <c r="C59" s="2"/>
    </row>
    <row r="60" spans="1:6" ht="20.6">
      <c r="A60" s="26" t="s">
        <v>157</v>
      </c>
      <c r="B60" s="18"/>
      <c r="C60" s="2"/>
    </row>
    <row r="61" spans="1:6" ht="20.6">
      <c r="A61" s="30"/>
      <c r="B61" s="18"/>
      <c r="C61" s="2"/>
    </row>
    <row r="62" spans="1:6" ht="20.6">
      <c r="A62" s="30" t="s">
        <v>187</v>
      </c>
      <c r="B62" s="18"/>
      <c r="C62" s="2"/>
    </row>
    <row r="63" spans="1:6" ht="20.6">
      <c r="A63" s="30"/>
      <c r="B63" s="18"/>
      <c r="C63" s="2"/>
    </row>
    <row r="64" spans="1:6" ht="20.6">
      <c r="A64" s="30" t="s">
        <v>188</v>
      </c>
      <c r="B64" s="18"/>
      <c r="C64" s="2"/>
    </row>
    <row r="65" spans="1:6" ht="20.6">
      <c r="A65" s="30"/>
      <c r="B65" s="18"/>
      <c r="C65" s="2"/>
    </row>
    <row r="66" spans="1:6">
      <c r="A66" s="43" t="s">
        <v>189</v>
      </c>
      <c r="B66" s="43"/>
      <c r="C66" s="43"/>
      <c r="D66" s="43"/>
      <c r="E66" s="43"/>
      <c r="F66" s="43"/>
    </row>
    <row r="67" spans="1:6">
      <c r="A67" s="43"/>
      <c r="B67" s="43"/>
      <c r="C67" s="43"/>
      <c r="D67" s="43"/>
      <c r="E67" s="43"/>
      <c r="F67" s="43"/>
    </row>
    <row r="68" spans="1:6">
      <c r="A68" s="43"/>
      <c r="B68" s="43"/>
      <c r="C68" s="43"/>
      <c r="D68" s="43"/>
      <c r="E68" s="43"/>
      <c r="F68" s="43"/>
    </row>
    <row r="69" spans="1:6" ht="20.6">
      <c r="A69" s="30"/>
      <c r="B69" s="18"/>
      <c r="C69" s="2"/>
    </row>
    <row r="70" spans="1:6" ht="20.6">
      <c r="A70" s="30" t="s">
        <v>190</v>
      </c>
      <c r="B70" s="18"/>
      <c r="C70" s="2"/>
    </row>
    <row r="71" spans="1:6" ht="20.6">
      <c r="A71" s="27"/>
      <c r="B71" s="18"/>
      <c r="C71" s="2"/>
    </row>
    <row r="72" spans="1:6">
      <c r="A72" s="33" t="s">
        <v>191</v>
      </c>
      <c r="B72" s="33"/>
      <c r="C72" s="33"/>
      <c r="D72" s="33"/>
      <c r="E72" s="33"/>
      <c r="F72" s="33"/>
    </row>
    <row r="73" spans="1:6">
      <c r="A73" s="33"/>
      <c r="B73" s="33"/>
      <c r="C73" s="33"/>
      <c r="D73" s="33"/>
      <c r="E73" s="33"/>
      <c r="F73" s="33"/>
    </row>
    <row r="74" spans="1:6">
      <c r="A74" s="33"/>
      <c r="B74" s="33"/>
      <c r="C74" s="33"/>
      <c r="D74" s="33"/>
      <c r="E74" s="33"/>
      <c r="F74" s="33"/>
    </row>
    <row r="75" spans="1:6">
      <c r="A75" s="33"/>
      <c r="B75" s="33"/>
      <c r="C75" s="33"/>
      <c r="D75" s="33"/>
      <c r="E75" s="33"/>
      <c r="F75" s="33"/>
    </row>
  </sheetData>
  <mergeCells count="6">
    <mergeCell ref="A24:F26"/>
    <mergeCell ref="A30:F32"/>
    <mergeCell ref="A51:F52"/>
    <mergeCell ref="A56:F58"/>
    <mergeCell ref="A66:F68"/>
    <mergeCell ref="A72:F75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voltarTelaPrincipal">
                <anchor moveWithCells="1" sizeWithCells="1">
                  <from>
                    <xdr:col>4</xdr:col>
                    <xdr:colOff>2318657</xdr:colOff>
                    <xdr:row>0</xdr:row>
                    <xdr:rowOff>163286</xdr:rowOff>
                  </from>
                  <to>
                    <xdr:col>4</xdr:col>
                    <xdr:colOff>4027714</xdr:colOff>
                    <xdr:row>1</xdr:row>
                    <xdr:rowOff>272143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81B04-D610-4EEC-BED2-949F659DA154}">
  <sheetPr codeName="Planilha7"/>
  <dimension ref="A2:G77"/>
  <sheetViews>
    <sheetView showGridLines="0" workbookViewId="0">
      <selection activeCell="G3" sqref="G3"/>
    </sheetView>
  </sheetViews>
  <sheetFormatPr defaultRowHeight="14.6"/>
  <cols>
    <col min="1" max="1" width="52.61328125" customWidth="1"/>
    <col min="3" max="3" width="20.921875" bestFit="1" customWidth="1"/>
    <col min="5" max="5" width="66.921875" customWidth="1"/>
  </cols>
  <sheetData>
    <row r="2" spans="1:5" ht="28.3">
      <c r="A2" s="44" t="s">
        <v>192</v>
      </c>
      <c r="B2" s="2"/>
      <c r="C2" s="2"/>
    </row>
    <row r="3" spans="1:5" ht="28.3">
      <c r="A3" s="44"/>
      <c r="B3" s="2"/>
      <c r="C3" s="2"/>
    </row>
    <row r="4" spans="1:5" ht="28.3">
      <c r="A4" s="44"/>
      <c r="B4" s="2"/>
      <c r="C4" s="2"/>
    </row>
    <row r="5" spans="1:5" ht="26.15">
      <c r="A5" s="45"/>
      <c r="B5" s="46"/>
      <c r="C5" s="47"/>
      <c r="D5" s="45"/>
      <c r="E5" s="38" t="s">
        <v>193</v>
      </c>
    </row>
    <row r="6" spans="1:5" ht="31.75">
      <c r="A6" s="48" t="s">
        <v>123</v>
      </c>
      <c r="B6" s="49" t="s">
        <v>168</v>
      </c>
      <c r="C6" s="50" t="s">
        <v>124</v>
      </c>
      <c r="D6" s="45"/>
      <c r="E6" s="51">
        <f>SUMIF(A7:A18,"Afonso Alves",C7:C18)</f>
        <v>9500</v>
      </c>
    </row>
    <row r="7" spans="1:5" ht="26.15">
      <c r="A7" s="52" t="s">
        <v>126</v>
      </c>
      <c r="B7" s="53">
        <v>23</v>
      </c>
      <c r="C7" s="54">
        <v>2000</v>
      </c>
      <c r="D7" s="45"/>
    </row>
    <row r="8" spans="1:5" ht="26.15">
      <c r="A8" s="52" t="s">
        <v>127</v>
      </c>
      <c r="B8" s="53">
        <v>23</v>
      </c>
      <c r="C8" s="54">
        <v>2500</v>
      </c>
      <c r="D8" s="45"/>
      <c r="E8" s="45"/>
    </row>
    <row r="9" spans="1:5" ht="26.15">
      <c r="A9" s="52" t="s">
        <v>127</v>
      </c>
      <c r="B9" s="53">
        <v>23</v>
      </c>
      <c r="C9" s="54">
        <v>5000</v>
      </c>
      <c r="D9" s="45"/>
      <c r="E9" s="38" t="s">
        <v>194</v>
      </c>
    </row>
    <row r="10" spans="1:5" ht="26.15">
      <c r="A10" s="52" t="s">
        <v>131</v>
      </c>
      <c r="B10" s="53">
        <v>26</v>
      </c>
      <c r="C10" s="54">
        <v>3000</v>
      </c>
      <c r="D10" s="45"/>
      <c r="E10" s="55">
        <f>SUMIF(B7:B18,"23",C7:C18)</f>
        <v>11500</v>
      </c>
    </row>
    <row r="11" spans="1:5" ht="26.15">
      <c r="A11" s="52" t="s">
        <v>132</v>
      </c>
      <c r="B11" s="53">
        <v>26</v>
      </c>
      <c r="C11" s="54">
        <v>2000</v>
      </c>
      <c r="D11" s="45"/>
      <c r="E11" s="45"/>
    </row>
    <row r="12" spans="1:5" ht="26.15">
      <c r="A12" s="52" t="s">
        <v>127</v>
      </c>
      <c r="B12" s="53">
        <v>26</v>
      </c>
      <c r="C12" s="54">
        <v>2000</v>
      </c>
      <c r="D12" s="45"/>
      <c r="E12" s="45"/>
    </row>
    <row r="13" spans="1:5" ht="26.15">
      <c r="A13" s="52" t="s">
        <v>134</v>
      </c>
      <c r="B13" s="53">
        <v>23</v>
      </c>
      <c r="C13" s="54">
        <v>2000</v>
      </c>
      <c r="D13" s="45"/>
      <c r="E13" s="38" t="s">
        <v>195</v>
      </c>
    </row>
    <row r="14" spans="1:5" ht="26.15">
      <c r="A14" s="52" t="s">
        <v>135</v>
      </c>
      <c r="B14" s="53">
        <v>30</v>
      </c>
      <c r="C14" s="54">
        <v>5000</v>
      </c>
      <c r="D14" s="45"/>
      <c r="E14" s="55">
        <f>SUMIF(C7:C18,"&lt;4000",C7:C18)</f>
        <v>13500</v>
      </c>
    </row>
    <row r="15" spans="1:5" ht="26.15">
      <c r="A15" s="52" t="s">
        <v>137</v>
      </c>
      <c r="B15" s="53">
        <v>30</v>
      </c>
      <c r="C15" s="54">
        <v>5000</v>
      </c>
      <c r="D15" s="45"/>
      <c r="E15" s="45"/>
    </row>
    <row r="16" spans="1:5" ht="26.15">
      <c r="A16" s="52" t="s">
        <v>139</v>
      </c>
      <c r="B16" s="53">
        <v>30</v>
      </c>
      <c r="C16" s="54">
        <v>5000</v>
      </c>
      <c r="D16" s="45"/>
    </row>
    <row r="17" spans="1:6" ht="26.15">
      <c r="A17" s="52" t="s">
        <v>141</v>
      </c>
      <c r="B17" s="53">
        <v>30</v>
      </c>
      <c r="C17" s="54">
        <v>4000</v>
      </c>
      <c r="D17" s="45"/>
      <c r="E17" s="38" t="s">
        <v>196</v>
      </c>
    </row>
    <row r="18" spans="1:6" ht="26.15">
      <c r="A18" s="52" t="s">
        <v>143</v>
      </c>
      <c r="B18" s="53">
        <v>30</v>
      </c>
      <c r="C18" s="54">
        <v>4000</v>
      </c>
      <c r="D18" s="45"/>
      <c r="E18" s="55">
        <f>SUMIF(B7:B18,"&gt;23",C7:C18)</f>
        <v>30000</v>
      </c>
    </row>
    <row r="19" spans="1:6">
      <c r="B19" s="2"/>
      <c r="C19" s="2"/>
    </row>
    <row r="20" spans="1:6">
      <c r="B20" s="2"/>
      <c r="C20" s="2"/>
    </row>
    <row r="21" spans="1:6">
      <c r="B21" s="2"/>
      <c r="C21" s="2"/>
    </row>
    <row r="22" spans="1:6">
      <c r="B22" s="2"/>
      <c r="C22" s="2"/>
    </row>
    <row r="23" spans="1:6">
      <c r="B23" s="2"/>
      <c r="C23" s="2"/>
    </row>
    <row r="24" spans="1:6">
      <c r="B24" s="2"/>
      <c r="C24" s="2"/>
    </row>
    <row r="25" spans="1:6">
      <c r="A25" s="15" t="s">
        <v>197</v>
      </c>
      <c r="B25" s="15"/>
      <c r="C25" s="15"/>
      <c r="D25" s="15"/>
      <c r="E25" s="15"/>
      <c r="F25" s="15"/>
    </row>
    <row r="26" spans="1:6" ht="26.6" customHeight="1">
      <c r="A26" s="15"/>
      <c r="B26" s="15"/>
      <c r="C26" s="15"/>
      <c r="D26" s="15"/>
      <c r="E26" s="15"/>
      <c r="F26" s="15"/>
    </row>
    <row r="27" spans="1:6">
      <c r="B27" s="2"/>
      <c r="C27" s="2"/>
    </row>
    <row r="28" spans="1:6" ht="18.45">
      <c r="A28" s="8" t="s">
        <v>198</v>
      </c>
      <c r="B28" s="2"/>
      <c r="C28" s="2"/>
    </row>
    <row r="29" spans="1:6" ht="18.45">
      <c r="A29" s="7"/>
      <c r="B29" s="2"/>
      <c r="C29" s="2"/>
    </row>
    <row r="30" spans="1:6">
      <c r="A30" s="15" t="s">
        <v>199</v>
      </c>
      <c r="B30" s="15"/>
      <c r="C30" s="15"/>
      <c r="D30" s="15"/>
      <c r="E30" s="15"/>
      <c r="F30" s="15"/>
    </row>
    <row r="31" spans="1:6">
      <c r="A31" s="15"/>
      <c r="B31" s="15"/>
      <c r="C31" s="15"/>
      <c r="D31" s="15"/>
      <c r="E31" s="15"/>
      <c r="F31" s="15"/>
    </row>
    <row r="32" spans="1:6">
      <c r="A32" s="15"/>
      <c r="B32" s="15"/>
      <c r="C32" s="15"/>
      <c r="D32" s="15"/>
      <c r="E32" s="15"/>
      <c r="F32" s="15"/>
    </row>
    <row r="33" spans="1:7" ht="18.45">
      <c r="A33" s="7"/>
      <c r="B33" s="2"/>
      <c r="C33" s="2"/>
    </row>
    <row r="34" spans="1:7" ht="18.45">
      <c r="A34" s="8" t="s">
        <v>200</v>
      </c>
      <c r="B34" s="2"/>
      <c r="C34" s="2"/>
    </row>
    <row r="35" spans="1:7" ht="18.45">
      <c r="A35" s="7"/>
      <c r="B35" s="2"/>
      <c r="C35" s="2"/>
    </row>
    <row r="36" spans="1:7" ht="18.45">
      <c r="A36" s="7" t="s">
        <v>201</v>
      </c>
      <c r="B36" s="2"/>
      <c r="C36" s="2"/>
    </row>
    <row r="37" spans="1:7" ht="18.45">
      <c r="A37" s="9"/>
      <c r="B37" s="2"/>
      <c r="C37" s="2"/>
    </row>
    <row r="38" spans="1:7" ht="18.45">
      <c r="A38" s="9"/>
      <c r="B38" s="2"/>
      <c r="C38" s="2"/>
    </row>
    <row r="39" spans="1:7" ht="17.600000000000001">
      <c r="A39" s="10" t="s">
        <v>202</v>
      </c>
      <c r="B39" s="2"/>
      <c r="C39" s="2"/>
    </row>
    <row r="40" spans="1:7" ht="18.45">
      <c r="A40" s="11"/>
      <c r="B40" s="2"/>
      <c r="C40" s="2"/>
    </row>
    <row r="41" spans="1:7" ht="18.45">
      <c r="A41" s="12" t="s">
        <v>203</v>
      </c>
      <c r="B41" s="2"/>
      <c r="C41" s="2"/>
    </row>
    <row r="42" spans="1:7" ht="18.45">
      <c r="A42" s="11"/>
      <c r="B42" s="2"/>
      <c r="C42" s="2"/>
    </row>
    <row r="43" spans="1:7" ht="18.45">
      <c r="A43" s="12" t="s">
        <v>204</v>
      </c>
      <c r="B43" s="2"/>
      <c r="C43" s="2"/>
    </row>
    <row r="44" spans="1:7" ht="18.45">
      <c r="A44" s="11"/>
      <c r="B44" s="2"/>
      <c r="C44" s="2"/>
    </row>
    <row r="45" spans="1:7">
      <c r="A45" s="13" t="s">
        <v>205</v>
      </c>
      <c r="B45" s="13"/>
      <c r="C45" s="13"/>
      <c r="D45" s="13"/>
      <c r="E45" s="13"/>
      <c r="F45" s="13"/>
      <c r="G45" s="13"/>
    </row>
    <row r="46" spans="1:7" ht="21" customHeight="1">
      <c r="A46" s="13"/>
      <c r="B46" s="13"/>
      <c r="C46" s="13"/>
      <c r="D46" s="13"/>
      <c r="E46" s="13"/>
      <c r="F46" s="13"/>
      <c r="G46" s="13"/>
    </row>
    <row r="47" spans="1:7" ht="18.45">
      <c r="A47" s="7"/>
      <c r="B47" s="2"/>
      <c r="C47" s="2"/>
    </row>
    <row r="48" spans="1:7" ht="18.45">
      <c r="A48" s="8" t="s">
        <v>113</v>
      </c>
      <c r="B48" s="2"/>
      <c r="C48" s="2"/>
    </row>
    <row r="49" spans="1:6" ht="18.45">
      <c r="A49" s="7"/>
      <c r="B49" s="2"/>
      <c r="C49" s="2"/>
    </row>
    <row r="50" spans="1:6">
      <c r="A50" s="6" t="s">
        <v>206</v>
      </c>
      <c r="B50" s="6"/>
      <c r="C50" s="6"/>
      <c r="D50" s="6"/>
      <c r="E50" s="6"/>
      <c r="F50" s="6"/>
    </row>
    <row r="51" spans="1:6">
      <c r="A51" s="6"/>
      <c r="B51" s="6"/>
      <c r="C51" s="6"/>
      <c r="D51" s="6"/>
      <c r="E51" s="6"/>
      <c r="F51" s="6"/>
    </row>
    <row r="52" spans="1:6">
      <c r="A52" s="6"/>
      <c r="B52" s="6"/>
      <c r="C52" s="6"/>
      <c r="D52" s="6"/>
      <c r="E52" s="6"/>
      <c r="F52" s="6"/>
    </row>
    <row r="53" spans="1:6" ht="18.45">
      <c r="A53" s="7"/>
      <c r="B53" s="2"/>
      <c r="C53" s="2"/>
    </row>
    <row r="54" spans="1:6">
      <c r="A54" s="6" t="s">
        <v>207</v>
      </c>
      <c r="B54" s="6"/>
      <c r="C54" s="6"/>
      <c r="D54" s="6"/>
      <c r="E54" s="6"/>
      <c r="F54" s="6"/>
    </row>
    <row r="55" spans="1:6">
      <c r="A55" s="6"/>
      <c r="B55" s="6"/>
      <c r="C55" s="6"/>
      <c r="D55" s="6"/>
      <c r="E55" s="6"/>
      <c r="F55" s="6"/>
    </row>
    <row r="56" spans="1:6" ht="18.45">
      <c r="A56" s="9"/>
      <c r="B56" s="2"/>
      <c r="C56" s="2"/>
    </row>
    <row r="57" spans="1:6" ht="18.45">
      <c r="A57" s="9"/>
      <c r="B57" s="2"/>
      <c r="C57" s="2"/>
    </row>
    <row r="58" spans="1:6" ht="17.600000000000001">
      <c r="A58" s="56" t="s">
        <v>208</v>
      </c>
      <c r="B58" s="2"/>
      <c r="C58" s="2"/>
    </row>
    <row r="59" spans="1:6" ht="18.45">
      <c r="A59" s="7"/>
      <c r="B59" s="2"/>
      <c r="C59" s="2"/>
    </row>
    <row r="60" spans="1:6" ht="9.4499999999999993" customHeight="1">
      <c r="A60" s="6" t="s">
        <v>209</v>
      </c>
      <c r="B60" s="6"/>
      <c r="C60" s="6"/>
      <c r="D60" s="6"/>
      <c r="E60" s="6"/>
      <c r="F60" s="6"/>
    </row>
    <row r="61" spans="1:6" ht="28.3" customHeight="1">
      <c r="A61" s="6"/>
      <c r="B61" s="6"/>
      <c r="C61" s="6"/>
      <c r="D61" s="6"/>
      <c r="E61" s="6"/>
      <c r="F61" s="6"/>
    </row>
    <row r="62" spans="1:6" ht="18.45">
      <c r="A62" s="7"/>
      <c r="B62" s="2"/>
      <c r="C62" s="2"/>
    </row>
    <row r="63" spans="1:6" ht="18.45">
      <c r="A63" s="8" t="s">
        <v>116</v>
      </c>
      <c r="B63" s="2"/>
      <c r="C63" s="2"/>
    </row>
    <row r="64" spans="1:6" ht="18.45">
      <c r="A64" s="11"/>
      <c r="B64" s="2"/>
      <c r="C64" s="2"/>
    </row>
    <row r="65" spans="1:6" ht="18.45">
      <c r="A65" s="11" t="s">
        <v>210</v>
      </c>
      <c r="B65" s="2"/>
      <c r="C65" s="2"/>
    </row>
    <row r="66" spans="1:6" ht="18.45">
      <c r="A66" s="11"/>
      <c r="B66" s="2"/>
      <c r="C66" s="2"/>
    </row>
    <row r="67" spans="1:6" ht="18.45">
      <c r="A67" s="11" t="s">
        <v>211</v>
      </c>
      <c r="B67" s="2"/>
      <c r="C67" s="2"/>
    </row>
    <row r="68" spans="1:6" ht="18.45">
      <c r="A68" s="11"/>
      <c r="B68" s="2"/>
      <c r="C68" s="2"/>
    </row>
    <row r="69" spans="1:6">
      <c r="A69" s="14" t="s">
        <v>212</v>
      </c>
      <c r="B69" s="14"/>
      <c r="C69" s="14"/>
      <c r="D69" s="14"/>
      <c r="E69" s="14"/>
      <c r="F69" s="14"/>
    </row>
    <row r="70" spans="1:6" ht="22.75" customHeight="1">
      <c r="A70" s="14"/>
      <c r="B70" s="14"/>
      <c r="C70" s="14"/>
      <c r="D70" s="14"/>
      <c r="E70" s="14"/>
      <c r="F70" s="14"/>
    </row>
    <row r="71" spans="1:6" ht="18.45">
      <c r="A71" s="11"/>
      <c r="B71" s="2"/>
      <c r="C71" s="2"/>
    </row>
    <row r="72" spans="1:6">
      <c r="A72" s="14" t="s">
        <v>213</v>
      </c>
      <c r="B72" s="14"/>
      <c r="C72" s="14"/>
      <c r="D72" s="14"/>
      <c r="E72" s="14"/>
      <c r="F72" s="14"/>
    </row>
    <row r="73" spans="1:6" ht="22.3" customHeight="1">
      <c r="A73" s="14"/>
      <c r="B73" s="14"/>
      <c r="C73" s="14"/>
      <c r="D73" s="14"/>
      <c r="E73" s="14"/>
      <c r="F73" s="14"/>
    </row>
    <row r="74" spans="1:6" ht="18.45">
      <c r="A74" s="7"/>
      <c r="B74" s="2"/>
      <c r="C74" s="2"/>
    </row>
    <row r="75" spans="1:6">
      <c r="A75" s="15" t="s">
        <v>214</v>
      </c>
      <c r="B75" s="15"/>
      <c r="C75" s="15"/>
      <c r="D75" s="15"/>
      <c r="E75" s="15"/>
      <c r="F75" s="15"/>
    </row>
    <row r="76" spans="1:6">
      <c r="A76" s="15"/>
      <c r="B76" s="15"/>
      <c r="C76" s="15"/>
      <c r="D76" s="15"/>
      <c r="E76" s="15"/>
      <c r="F76" s="15"/>
    </row>
    <row r="77" spans="1:6">
      <c r="A77" s="15"/>
      <c r="B77" s="15"/>
      <c r="C77" s="15"/>
      <c r="D77" s="15"/>
      <c r="E77" s="15"/>
      <c r="F77" s="15"/>
    </row>
  </sheetData>
  <mergeCells count="9">
    <mergeCell ref="A69:F70"/>
    <mergeCell ref="A72:F73"/>
    <mergeCell ref="A75:F77"/>
    <mergeCell ref="A25:F26"/>
    <mergeCell ref="A30:F32"/>
    <mergeCell ref="A45:G46"/>
    <mergeCell ref="A50:F52"/>
    <mergeCell ref="A54:F55"/>
    <mergeCell ref="A60:F6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voltarTelaPrincipal">
                <anchor moveWithCells="1" sizeWithCells="1">
                  <from>
                    <xdr:col>4</xdr:col>
                    <xdr:colOff>3374571</xdr:colOff>
                    <xdr:row>1</xdr:row>
                    <xdr:rowOff>10886</xdr:rowOff>
                  </from>
                  <to>
                    <xdr:col>5</xdr:col>
                    <xdr:colOff>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Principal</vt:lpstr>
      <vt:lpstr>Planilha1</vt:lpstr>
      <vt:lpstr>Perguntas</vt:lpstr>
      <vt:lpstr>EXT.TEXTO</vt:lpstr>
      <vt:lpstr>PROCV</vt:lpstr>
      <vt:lpstr>CONT.SE</vt:lpstr>
      <vt:lpstr>SOMASE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2024-11-04T21:19:46Z</dcterms:created>
  <dcterms:modified xsi:type="dcterms:W3CDTF">2024-11-11T22:48:43Z</dcterms:modified>
</cp:coreProperties>
</file>