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04747DE-7FE5-45A9-915B-152A51039F9D}" xr6:coauthVersionLast="47" xr6:coauthVersionMax="47" xr10:uidLastSave="{00000000-0000-0000-0000-000000000000}"/>
  <bookViews>
    <workbookView xWindow="-86" yWindow="0" windowWidth="16629" windowHeight="17880" firstSheet="5" activeTab="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" i="9" l="1" a="1"/>
  <c r="K39" i="9" s="1"/>
  <c r="K38" i="9" a="1"/>
  <c r="K38" i="9" s="1"/>
  <c r="H24" i="9" a="1"/>
  <c r="H24" i="9" s="1"/>
  <c r="H25" i="9" a="1"/>
  <c r="H25" i="9" s="1"/>
  <c r="H23" i="9" a="1"/>
  <c r="H23" i="9" s="1"/>
  <c r="E5" i="9" a="1"/>
  <c r="E5" i="9" s="1"/>
  <c r="E6" i="9" a="1"/>
  <c r="E6" i="9" s="1"/>
  <c r="E7" i="9" a="1"/>
  <c r="E7" i="9" s="1"/>
  <c r="E4" i="9" a="1"/>
  <c r="E4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<sst xmlns="http://schemas.openxmlformats.org/spreadsheetml/2006/main" count="402" uniqueCount="185">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</sst>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45628</v>
      </c>
      <c r="F11">
        <f ca="1">DAY(E11)</f>
        <v>2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02/12/2024</v>
      </c>
      <c r="K11" t="str">
        <f ca="1">TEXT(E11, "dd ""de"" mmmm ""de"" aaaa")</f>
        <v>02 de dezembro de 2024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tabSelected="1" topLeftCell="D1" workbookViewId="0">
      <selection activeCell="H24" sqref="H24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4" t="s">
        <v>97</v>
      </c>
      <c r="C3" s="24" t="s">
        <v>94</v>
      </c>
      <c r="D3" s="24" t="s">
        <v>95</v>
      </c>
      <c r="E3" s="25" t="s">
        <v>96</v>
      </c>
      <c r="G3" s="24" t="s">
        <v>97</v>
      </c>
      <c r="H3" s="25" t="s">
        <v>96</v>
      </c>
      <c r="I3" s="24" t="s">
        <v>94</v>
      </c>
      <c r="J3" s="24" t="s">
        <v>95</v>
      </c>
    </row>
    <row r="4" spans="2:10" x14ac:dyDescent="0.4">
      <c r="B4" s="26" t="s">
        <v>99</v>
      </c>
      <c r="C4" s="26" t="str">
        <f>VLOOKUP(B4,G3:J18,3,0)</f>
        <v>Feminino</v>
      </c>
      <c r="D4" s="26" t="s">
        <v>98</v>
      </c>
      <c r="E4" s="27" cm="1">
        <f t="array" ref="E4">INDEX($G$3:$J$18,MATCH(B4&amp;C4&amp;D4,$G$3:$G$18&amp;$I$3:$I$18&amp;$J$3:$J$18,0),2)</f>
        <v>69</v>
      </c>
      <c r="F4" s="21"/>
      <c r="G4" s="26" t="s">
        <v>99</v>
      </c>
      <c r="H4" s="1">
        <v>89</v>
      </c>
      <c r="I4" s="26" t="s">
        <v>100</v>
      </c>
      <c r="J4" s="26" t="s">
        <v>101</v>
      </c>
    </row>
    <row r="5" spans="2:10" x14ac:dyDescent="0.4">
      <c r="B5" s="26" t="s">
        <v>105</v>
      </c>
      <c r="C5" s="26" t="str">
        <f t="shared" ref="C5:C7" si="0">VLOOKUP(B5,G4:J19,3,0)</f>
        <v>Feminino</v>
      </c>
      <c r="D5" s="26" t="s">
        <v>102</v>
      </c>
      <c r="E5" s="27" cm="1">
        <f t="array" ref="E5">INDEX($G$3:$J$18,MATCH(B5&amp;C5&amp;D5,$G$3:$G$18&amp;$I$3:$I$18&amp;$J$3:$J$18,0),2)</f>
        <v>59</v>
      </c>
      <c r="G5" s="26" t="s">
        <v>99</v>
      </c>
      <c r="H5" s="1">
        <v>69</v>
      </c>
      <c r="I5" s="26" t="s">
        <v>100</v>
      </c>
      <c r="J5" s="26" t="s">
        <v>98</v>
      </c>
    </row>
    <row r="6" spans="2:10" x14ac:dyDescent="0.4">
      <c r="B6" s="26" t="s">
        <v>1</v>
      </c>
      <c r="C6" s="26" t="str">
        <f t="shared" si="0"/>
        <v>Masculino</v>
      </c>
      <c r="D6" s="26" t="s">
        <v>103</v>
      </c>
      <c r="E6" s="27" cm="1">
        <f t="array" ref="E6">INDEX($G$3:$J$18,MATCH(B6&amp;C6&amp;D6,$G$3:$G$18&amp;$I$3:$I$18&amp;$J$3:$J$18,0),2)</f>
        <v>153</v>
      </c>
      <c r="F6" s="21"/>
      <c r="G6" s="26" t="s">
        <v>1</v>
      </c>
      <c r="H6" s="1">
        <v>153</v>
      </c>
      <c r="I6" s="26" t="s">
        <v>104</v>
      </c>
      <c r="J6" s="26" t="s">
        <v>103</v>
      </c>
    </row>
    <row r="7" spans="2:10" x14ac:dyDescent="0.4">
      <c r="B7" s="26" t="s">
        <v>99</v>
      </c>
      <c r="C7" s="26" t="str">
        <f t="shared" si="0"/>
        <v>Feminino</v>
      </c>
      <c r="D7" s="26" t="s">
        <v>101</v>
      </c>
      <c r="E7" s="27" cm="1">
        <f t="array" ref="E7">INDEX($G$3:$J$18,MATCH(B7&amp;C7&amp;D7,$G$3:$G$18&amp;$I$3:$I$18&amp;$J$3:$J$18,0),2)</f>
        <v>89</v>
      </c>
      <c r="G7" s="26" t="s">
        <v>105</v>
      </c>
      <c r="H7" s="1">
        <v>148</v>
      </c>
      <c r="I7" s="26" t="s">
        <v>100</v>
      </c>
      <c r="J7" s="26" t="s">
        <v>106</v>
      </c>
    </row>
    <row r="8" spans="2:10" x14ac:dyDescent="0.4">
      <c r="D8" s="22"/>
      <c r="E8" s="23"/>
      <c r="F8" s="21"/>
      <c r="G8" s="26" t="s">
        <v>99</v>
      </c>
      <c r="H8" s="1">
        <v>146</v>
      </c>
      <c r="I8" s="26" t="s">
        <v>100</v>
      </c>
      <c r="J8" s="26" t="s">
        <v>107</v>
      </c>
    </row>
    <row r="9" spans="2:10" x14ac:dyDescent="0.4">
      <c r="G9" s="26" t="s">
        <v>105</v>
      </c>
      <c r="H9" s="1">
        <v>224</v>
      </c>
      <c r="I9" s="26" t="s">
        <v>100</v>
      </c>
      <c r="J9" s="26" t="s">
        <v>108</v>
      </c>
    </row>
    <row r="10" spans="2:10" x14ac:dyDescent="0.4">
      <c r="G10" s="26" t="s">
        <v>1</v>
      </c>
      <c r="H10" s="1">
        <v>150</v>
      </c>
      <c r="I10" s="26" t="s">
        <v>104</v>
      </c>
      <c r="J10" s="26" t="s">
        <v>109</v>
      </c>
    </row>
    <row r="11" spans="2:10" x14ac:dyDescent="0.4">
      <c r="D11" s="22"/>
      <c r="G11" s="26" t="s">
        <v>99</v>
      </c>
      <c r="H11" s="1">
        <v>248</v>
      </c>
      <c r="I11" s="26" t="s">
        <v>100</v>
      </c>
      <c r="J11" s="26" t="s">
        <v>110</v>
      </c>
    </row>
    <row r="12" spans="2:10" x14ac:dyDescent="0.4">
      <c r="D12" s="22"/>
      <c r="G12" s="26" t="s">
        <v>99</v>
      </c>
      <c r="H12" s="1">
        <v>116</v>
      </c>
      <c r="I12" s="26" t="s">
        <v>100</v>
      </c>
      <c r="J12" s="26" t="s">
        <v>111</v>
      </c>
    </row>
    <row r="13" spans="2:10" x14ac:dyDescent="0.4">
      <c r="D13" s="22"/>
      <c r="G13" s="26" t="s">
        <v>105</v>
      </c>
      <c r="H13" s="1">
        <v>59</v>
      </c>
      <c r="I13" s="26" t="s">
        <v>100</v>
      </c>
      <c r="J13" s="26" t="s">
        <v>102</v>
      </c>
    </row>
    <row r="14" spans="2:10" x14ac:dyDescent="0.4">
      <c r="D14" s="22"/>
      <c r="G14" s="26" t="s">
        <v>1</v>
      </c>
      <c r="H14" s="1">
        <v>46</v>
      </c>
      <c r="I14" s="26" t="s">
        <v>104</v>
      </c>
      <c r="J14" s="26" t="s">
        <v>112</v>
      </c>
    </row>
    <row r="15" spans="2:10" x14ac:dyDescent="0.4">
      <c r="D15" s="22"/>
      <c r="G15" s="26" t="s">
        <v>99</v>
      </c>
      <c r="H15" s="1">
        <v>41</v>
      </c>
      <c r="I15" s="26" t="s">
        <v>100</v>
      </c>
      <c r="J15" s="26" t="s">
        <v>113</v>
      </c>
    </row>
    <row r="16" spans="2:10" x14ac:dyDescent="0.4">
      <c r="D16" s="22"/>
      <c r="G16" s="26" t="s">
        <v>99</v>
      </c>
      <c r="H16" s="1">
        <v>81</v>
      </c>
      <c r="I16" s="26" t="s">
        <v>100</v>
      </c>
      <c r="J16" s="26" t="s">
        <v>103</v>
      </c>
    </row>
    <row r="17" spans="2:16" x14ac:dyDescent="0.4">
      <c r="D17" s="22"/>
      <c r="G17" s="26" t="s">
        <v>105</v>
      </c>
      <c r="H17" s="1">
        <v>55</v>
      </c>
      <c r="I17" s="26" t="s">
        <v>100</v>
      </c>
      <c r="J17" s="26" t="s">
        <v>114</v>
      </c>
    </row>
    <row r="18" spans="2:16" x14ac:dyDescent="0.4">
      <c r="D18" s="22"/>
      <c r="G18" s="26" t="s">
        <v>1</v>
      </c>
      <c r="H18" s="1">
        <v>89</v>
      </c>
      <c r="I18" s="26" t="s">
        <v>104</v>
      </c>
      <c r="J18" s="26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4" t="s">
        <v>117</v>
      </c>
      <c r="C22" s="25" t="s">
        <v>57</v>
      </c>
      <c r="D22" s="24" t="s">
        <v>28</v>
      </c>
      <c r="E22" s="24" t="s">
        <v>58</v>
      </c>
      <c r="F22" s="24" t="s">
        <v>94</v>
      </c>
      <c r="G22" s="24" t="s">
        <v>116</v>
      </c>
      <c r="H22" s="24" t="s">
        <v>59</v>
      </c>
      <c r="J22" s="24" t="s">
        <v>117</v>
      </c>
      <c r="K22" s="25" t="s">
        <v>57</v>
      </c>
      <c r="L22" s="24" t="s">
        <v>28</v>
      </c>
      <c r="M22" s="24" t="s">
        <v>58</v>
      </c>
      <c r="N22" s="24" t="s">
        <v>94</v>
      </c>
      <c r="O22" s="24" t="s">
        <v>116</v>
      </c>
      <c r="P22" s="24" t="s">
        <v>59</v>
      </c>
    </row>
    <row r="23" spans="2:16" x14ac:dyDescent="0.4">
      <c r="B23" s="26" t="s">
        <v>126</v>
      </c>
      <c r="C23" s="26" t="s">
        <v>62</v>
      </c>
      <c r="D23" s="26" t="s">
        <v>118</v>
      </c>
      <c r="E23" s="26">
        <v>28</v>
      </c>
      <c r="F23" s="26" t="s">
        <v>119</v>
      </c>
      <c r="G23" s="26" t="s">
        <v>120</v>
      </c>
      <c r="H23" s="28" cm="1">
        <f t="array" ref="H23">INDEX($J$22:$P$32, MATCH(B23&amp;C23&amp;D23&amp;E23&amp;F23&amp;G23,$J$22:$J$32&amp;$K$22:$K$32&amp;$L$22:$L$32&amp;$M$22:$M$32&amp;$N$22:$N$32&amp;$O$22:$O$32, 0), 7)</f>
        <v>59865</v>
      </c>
      <c r="J23" s="26" t="s">
        <v>121</v>
      </c>
      <c r="K23" s="26" t="s">
        <v>60</v>
      </c>
      <c r="L23" s="26" t="s">
        <v>2</v>
      </c>
      <c r="M23" s="26">
        <v>35</v>
      </c>
      <c r="N23" s="26" t="s">
        <v>122</v>
      </c>
      <c r="O23" s="26" t="s">
        <v>123</v>
      </c>
      <c r="P23" s="28">
        <v>17238</v>
      </c>
    </row>
    <row r="24" spans="2:16" x14ac:dyDescent="0.4">
      <c r="B24" s="26" t="s">
        <v>135</v>
      </c>
      <c r="C24" s="26" t="s">
        <v>72</v>
      </c>
      <c r="D24" s="26" t="s">
        <v>124</v>
      </c>
      <c r="E24" s="26">
        <v>33</v>
      </c>
      <c r="F24" s="26" t="s">
        <v>119</v>
      </c>
      <c r="G24" s="26" t="s">
        <v>125</v>
      </c>
      <c r="H24" s="28" cm="1">
        <f t="array" ref="H24">INDEX($J$22:$P$32, MATCH(B24&amp;C24&amp;D24&amp;E24&amp;F24&amp;G24,$J$22:$J$32&amp;$K$22:$K$32&amp;$L$22:$L$32&amp;$M$22:$M$32&amp;$N$22:$N$32&amp;$O$22:$O$32, 0), 7)</f>
        <v>32665</v>
      </c>
      <c r="J24" s="26" t="s">
        <v>126</v>
      </c>
      <c r="K24" s="26" t="s">
        <v>62</v>
      </c>
      <c r="L24" s="26" t="s">
        <v>118</v>
      </c>
      <c r="M24" s="26">
        <v>28</v>
      </c>
      <c r="N24" s="26" t="s">
        <v>119</v>
      </c>
      <c r="O24" s="26" t="s">
        <v>120</v>
      </c>
      <c r="P24" s="28">
        <v>59865</v>
      </c>
    </row>
    <row r="25" spans="2:16" x14ac:dyDescent="0.4">
      <c r="B25" s="26" t="s">
        <v>146</v>
      </c>
      <c r="C25" s="26" t="s">
        <v>127</v>
      </c>
      <c r="D25" s="26" t="s">
        <v>128</v>
      </c>
      <c r="E25" s="26">
        <v>36</v>
      </c>
      <c r="F25" s="26" t="s">
        <v>119</v>
      </c>
      <c r="G25" s="26" t="s">
        <v>129</v>
      </c>
      <c r="H25" s="28" cm="1">
        <f t="array" ref="H25">INDEX($J$22:$P$32, MATCH(B25&amp;C25&amp;D25&amp;E25&amp;F25&amp;G25,$J$22:$J$32&amp;$K$22:$K$32&amp;$L$22:$L$32&amp;$M$22:$M$32&amp;$N$22:$N$32&amp;$O$22:$O$32, 0), 7)</f>
        <v>52894</v>
      </c>
      <c r="J25" s="26" t="s">
        <v>130</v>
      </c>
      <c r="K25" s="26" t="s">
        <v>64</v>
      </c>
      <c r="L25" s="26" t="s">
        <v>1</v>
      </c>
      <c r="M25" s="26">
        <v>45</v>
      </c>
      <c r="N25" s="26" t="s">
        <v>122</v>
      </c>
      <c r="O25" s="26" t="s">
        <v>131</v>
      </c>
      <c r="P25" s="28">
        <v>10251</v>
      </c>
    </row>
    <row r="26" spans="2:16" x14ac:dyDescent="0.4">
      <c r="D26" s="22"/>
      <c r="H26" s="22"/>
      <c r="J26" s="26" t="s">
        <v>132</v>
      </c>
      <c r="K26" s="26" t="s">
        <v>68</v>
      </c>
      <c r="L26" s="26" t="s">
        <v>99</v>
      </c>
      <c r="M26" s="26">
        <v>38</v>
      </c>
      <c r="N26" s="26" t="s">
        <v>119</v>
      </c>
      <c r="O26" s="26" t="s">
        <v>133</v>
      </c>
      <c r="P26" s="28">
        <v>12597</v>
      </c>
    </row>
    <row r="27" spans="2:16" x14ac:dyDescent="0.4">
      <c r="D27" s="22"/>
      <c r="H27" s="22"/>
      <c r="J27" s="26" t="s">
        <v>130</v>
      </c>
      <c r="K27" s="26" t="s">
        <v>64</v>
      </c>
      <c r="L27" s="26" t="s">
        <v>1</v>
      </c>
      <c r="M27" s="26">
        <v>45</v>
      </c>
      <c r="N27" s="26" t="s">
        <v>122</v>
      </c>
      <c r="O27" s="26" t="s">
        <v>134</v>
      </c>
      <c r="P27" s="28">
        <v>12000</v>
      </c>
    </row>
    <row r="28" spans="2:16" x14ac:dyDescent="0.4">
      <c r="D28" s="22"/>
      <c r="H28" s="22"/>
      <c r="J28" s="26" t="s">
        <v>135</v>
      </c>
      <c r="K28" s="26" t="s">
        <v>72</v>
      </c>
      <c r="L28" s="26" t="s">
        <v>124</v>
      </c>
      <c r="M28" s="26">
        <v>33</v>
      </c>
      <c r="N28" s="26" t="s">
        <v>119</v>
      </c>
      <c r="O28" s="26" t="s">
        <v>125</v>
      </c>
      <c r="P28" s="28">
        <v>32665</v>
      </c>
    </row>
    <row r="29" spans="2:16" x14ac:dyDescent="0.4">
      <c r="D29" s="22"/>
      <c r="H29" s="22"/>
      <c r="J29" s="26" t="s">
        <v>136</v>
      </c>
      <c r="K29" s="26" t="s">
        <v>137</v>
      </c>
      <c r="L29" s="26" t="s">
        <v>138</v>
      </c>
      <c r="M29" s="26">
        <v>40</v>
      </c>
      <c r="N29" s="26" t="s">
        <v>122</v>
      </c>
      <c r="O29" s="26" t="s">
        <v>139</v>
      </c>
      <c r="P29" s="28">
        <v>99206</v>
      </c>
    </row>
    <row r="30" spans="2:16" x14ac:dyDescent="0.4">
      <c r="D30" s="22"/>
      <c r="H30" s="22"/>
      <c r="J30" s="26" t="s">
        <v>140</v>
      </c>
      <c r="K30" s="26" t="s">
        <v>70</v>
      </c>
      <c r="L30" s="26" t="s">
        <v>141</v>
      </c>
      <c r="M30" s="26">
        <v>31</v>
      </c>
      <c r="N30" s="26" t="s">
        <v>119</v>
      </c>
      <c r="O30" s="26" t="s">
        <v>142</v>
      </c>
      <c r="P30" s="28">
        <v>57996</v>
      </c>
    </row>
    <row r="31" spans="2:16" x14ac:dyDescent="0.4">
      <c r="D31" s="22"/>
      <c r="H31" s="22"/>
      <c r="J31" s="26" t="s">
        <v>143</v>
      </c>
      <c r="K31" s="26" t="s">
        <v>74</v>
      </c>
      <c r="L31" s="26" t="s">
        <v>144</v>
      </c>
      <c r="M31" s="26">
        <v>27</v>
      </c>
      <c r="N31" s="26" t="s">
        <v>122</v>
      </c>
      <c r="O31" s="26" t="s">
        <v>145</v>
      </c>
      <c r="P31" s="28">
        <v>58835</v>
      </c>
    </row>
    <row r="32" spans="2:16" x14ac:dyDescent="0.4">
      <c r="D32" s="22"/>
      <c r="H32" s="22"/>
      <c r="J32" s="26" t="s">
        <v>146</v>
      </c>
      <c r="K32" s="26" t="s">
        <v>127</v>
      </c>
      <c r="L32" s="26" t="s">
        <v>128</v>
      </c>
      <c r="M32" s="26">
        <v>36</v>
      </c>
      <c r="N32" s="26" t="s">
        <v>119</v>
      </c>
      <c r="O32" s="26" t="s">
        <v>129</v>
      </c>
      <c r="P32" s="28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4" t="s">
        <v>156</v>
      </c>
      <c r="C37" s="24" t="s">
        <v>147</v>
      </c>
      <c r="D37" s="24" t="s">
        <v>148</v>
      </c>
      <c r="E37" s="24" t="s">
        <v>149</v>
      </c>
      <c r="F37" s="24" t="s">
        <v>150</v>
      </c>
      <c r="G37" s="24" t="s">
        <v>151</v>
      </c>
      <c r="H37" s="24" t="s">
        <v>152</v>
      </c>
      <c r="I37" s="24" t="s">
        <v>153</v>
      </c>
      <c r="J37" s="24" t="s">
        <v>154</v>
      </c>
      <c r="K37" s="24" t="s">
        <v>155</v>
      </c>
      <c r="M37" s="24" t="s">
        <v>156</v>
      </c>
      <c r="N37" s="24" t="s">
        <v>147</v>
      </c>
      <c r="O37" s="24" t="s">
        <v>148</v>
      </c>
      <c r="P37" s="24" t="s">
        <v>149</v>
      </c>
      <c r="Q37" s="24" t="s">
        <v>150</v>
      </c>
      <c r="R37" s="24" t="s">
        <v>151</v>
      </c>
      <c r="S37" s="24" t="s">
        <v>152</v>
      </c>
      <c r="T37" s="24" t="s">
        <v>153</v>
      </c>
      <c r="U37" s="24" t="s">
        <v>154</v>
      </c>
      <c r="V37" s="24" t="s">
        <v>155</v>
      </c>
    </row>
    <row r="38" spans="2:22" x14ac:dyDescent="0.4">
      <c r="B38" s="26">
        <v>3</v>
      </c>
      <c r="C38" s="26" t="s">
        <v>157</v>
      </c>
      <c r="D38" s="26" t="s">
        <v>158</v>
      </c>
      <c r="E38" s="26">
        <v>15</v>
      </c>
      <c r="F38" s="26" t="s">
        <v>159</v>
      </c>
      <c r="G38" s="26" t="s">
        <v>160</v>
      </c>
      <c r="H38" s="29" t="s">
        <v>161</v>
      </c>
      <c r="I38" s="26" t="s">
        <v>162</v>
      </c>
      <c r="J38" s="26" t="s">
        <v>163</v>
      </c>
      <c r="K38" s="30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6">
        <v>1</v>
      </c>
      <c r="N38" s="26" t="s">
        <v>164</v>
      </c>
      <c r="O38" s="26" t="s">
        <v>165</v>
      </c>
      <c r="P38" s="26">
        <v>20</v>
      </c>
      <c r="Q38" s="26" t="s">
        <v>166</v>
      </c>
      <c r="R38" s="26" t="s">
        <v>167</v>
      </c>
      <c r="S38" s="29" t="s">
        <v>161</v>
      </c>
      <c r="T38" s="26" t="s">
        <v>162</v>
      </c>
      <c r="U38" s="26" t="s">
        <v>163</v>
      </c>
      <c r="V38" s="26" t="s">
        <v>168</v>
      </c>
    </row>
    <row r="39" spans="2:22" x14ac:dyDescent="0.4">
      <c r="B39" s="26">
        <v>5</v>
      </c>
      <c r="C39" s="26" t="s">
        <v>169</v>
      </c>
      <c r="D39" s="26" t="s">
        <v>170</v>
      </c>
      <c r="E39" s="26">
        <v>40</v>
      </c>
      <c r="F39" s="26" t="s">
        <v>171</v>
      </c>
      <c r="G39" s="26" t="s">
        <v>172</v>
      </c>
      <c r="H39" s="29" t="s">
        <v>161</v>
      </c>
      <c r="I39" s="26" t="s">
        <v>162</v>
      </c>
      <c r="J39" s="26" t="s">
        <v>163</v>
      </c>
      <c r="K39" s="30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6">
        <v>2</v>
      </c>
      <c r="N39" s="26" t="s">
        <v>173</v>
      </c>
      <c r="O39" s="26" t="s">
        <v>165</v>
      </c>
      <c r="P39" s="26">
        <v>35</v>
      </c>
      <c r="Q39" s="26" t="s">
        <v>174</v>
      </c>
      <c r="R39" s="26" t="s">
        <v>175</v>
      </c>
      <c r="S39" s="29" t="s">
        <v>161</v>
      </c>
      <c r="T39" s="26" t="s">
        <v>162</v>
      </c>
      <c r="U39" s="26" t="s">
        <v>163</v>
      </c>
      <c r="V39" s="26" t="s">
        <v>176</v>
      </c>
    </row>
    <row r="40" spans="2:22" x14ac:dyDescent="0.4">
      <c r="D40" s="22"/>
      <c r="H40" s="22"/>
      <c r="K40" s="21"/>
      <c r="M40" s="26">
        <v>3</v>
      </c>
      <c r="N40" s="26" t="s">
        <v>157</v>
      </c>
      <c r="O40" s="26" t="s">
        <v>158</v>
      </c>
      <c r="P40" s="26">
        <v>15</v>
      </c>
      <c r="Q40" s="26" t="s">
        <v>159</v>
      </c>
      <c r="R40" s="26" t="s">
        <v>160</v>
      </c>
      <c r="S40" s="29" t="s">
        <v>161</v>
      </c>
      <c r="T40" s="26" t="s">
        <v>162</v>
      </c>
      <c r="U40" s="26" t="s">
        <v>163</v>
      </c>
      <c r="V40" s="26" t="s">
        <v>177</v>
      </c>
    </row>
    <row r="41" spans="2:22" x14ac:dyDescent="0.4">
      <c r="D41" s="22"/>
      <c r="H41" s="22"/>
      <c r="K41" s="21"/>
      <c r="M41" s="26">
        <v>4</v>
      </c>
      <c r="N41" s="26" t="s">
        <v>178</v>
      </c>
      <c r="O41" s="26" t="s">
        <v>170</v>
      </c>
      <c r="P41" s="26">
        <v>50</v>
      </c>
      <c r="Q41" s="26" t="s">
        <v>179</v>
      </c>
      <c r="R41" s="26" t="s">
        <v>167</v>
      </c>
      <c r="S41" s="29" t="s">
        <v>161</v>
      </c>
      <c r="T41" s="26" t="s">
        <v>162</v>
      </c>
      <c r="U41" s="26" t="s">
        <v>163</v>
      </c>
      <c r="V41" s="26" t="s">
        <v>180</v>
      </c>
    </row>
    <row r="42" spans="2:22" x14ac:dyDescent="0.4">
      <c r="D42" s="22"/>
      <c r="H42" s="22"/>
      <c r="K42" s="21"/>
      <c r="M42" s="26">
        <v>5</v>
      </c>
      <c r="N42" s="26" t="s">
        <v>169</v>
      </c>
      <c r="O42" s="26" t="s">
        <v>170</v>
      </c>
      <c r="P42" s="26">
        <v>40</v>
      </c>
      <c r="Q42" s="26" t="s">
        <v>171</v>
      </c>
      <c r="R42" s="26" t="s">
        <v>172</v>
      </c>
      <c r="S42" s="29" t="s">
        <v>161</v>
      </c>
      <c r="T42" s="26" t="s">
        <v>162</v>
      </c>
      <c r="U42" s="26" t="s">
        <v>163</v>
      </c>
      <c r="V42" s="26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2024-12-03T02:08:23Z</dcterms:modified>
</cp:coreProperties>
</file>