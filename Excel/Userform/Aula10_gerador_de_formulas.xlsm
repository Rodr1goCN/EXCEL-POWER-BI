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codeName="EstaPastaDeTrabalho" defaultThemeVersion="202300"/>
  <mc:AlternateContent xmlns:mc="http://schemas.openxmlformats.org/markup-compatibility/2006">
    <mc:Choice Requires="x15">
      <x15ac:absPath xmlns:x15ac="http://schemas.microsoft.com/office/spreadsheetml/2010/11/ac" url="D:\Arquivos\Documentos\Udemy\EXCEL + POWER BI\Excel\Userform\"/>
    </mc:Choice>
  </mc:AlternateContent>
  <xr:revisionPtr revIDLastSave="0" documentId="13_ncr:1_{F56914D9-5766-4456-9EEF-68AE38EAA054}" xr6:coauthVersionLast="47" xr6:coauthVersionMax="47" xr10:uidLastSave="{00000000-0000-0000-0000-000000000000}"/>
  <bookViews>
    <workbookView xWindow="1757" yWindow="2229" windowWidth="24686" windowHeight="13054" firstSheet="7" activeTab="7" xr2:uid="{C968E1EB-4E9C-4BF9-9F2F-C76CE39370F7}"/>
  </bookViews>
  <sheets>
    <sheet name="Concatenar" sheetId="1" r:id="rId1"/>
    <sheet name="Soma, Máximo e Mínimo" sheetId="2" r:id="rId2"/>
    <sheet name="Fórmula Duplicado" sheetId="3" r:id="rId3"/>
    <sheet name="Arredondar" sheetId="4" r:id="rId4"/>
    <sheet name="Truncar, Int, Par e Ímpar" sheetId="5" r:id="rId5"/>
    <sheet name="Data" sheetId="6" r:id="rId6"/>
    <sheet name="Texto" sheetId="7" r:id="rId7"/>
    <sheet name="Procv" sheetId="8" r:id="rId8"/>
  </sheets>
  <definedNames>
    <definedName name="_xleta.LEN" hidden="1" xlm="1">#NAME?</definedName>
    <definedName name="_xleta.LOWER" hidden="1" xlm="1">#NAME?</definedName>
    <definedName name="_xleta.PROPER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5" i="8" l="1"/>
  <c r="J5" i="8"/>
  <c r="K5" i="8"/>
  <c r="L5" i="8"/>
  <c r="I6" i="8"/>
  <c r="J6" i="8"/>
  <c r="K6" i="8"/>
  <c r="L6" i="8"/>
  <c r="I7" i="8"/>
  <c r="J7" i="8"/>
  <c r="K7" i="8"/>
  <c r="L7" i="8"/>
  <c r="K4" i="8"/>
  <c r="J4" i="8"/>
  <c r="L4" i="8"/>
  <c r="I4" i="8"/>
  <c r="G9" i="7" l="1"/>
  <c r="F9" i="7"/>
  <c r="E9" i="7"/>
  <c r="D9" i="7"/>
  <c r="C9" i="7"/>
  <c r="B9" i="7"/>
  <c r="E11" i="6"/>
  <c r="L11" i="6" s="1"/>
  <c r="D11" i="5"/>
  <c r="E11" i="5"/>
  <c r="F11" i="5"/>
  <c r="G11" i="5"/>
  <c r="D12" i="5"/>
  <c r="E12" i="5"/>
  <c r="F12" i="5"/>
  <c r="G12" i="5"/>
  <c r="D13" i="5"/>
  <c r="E13" i="5"/>
  <c r="F13" i="5"/>
  <c r="G13" i="5"/>
  <c r="D14" i="5"/>
  <c r="E14" i="5"/>
  <c r="F14" i="5"/>
  <c r="G14" i="5"/>
  <c r="D15" i="5"/>
  <c r="E15" i="5"/>
  <c r="F15" i="5"/>
  <c r="G15" i="5"/>
  <c r="D16" i="5"/>
  <c r="E16" i="5"/>
  <c r="F16" i="5"/>
  <c r="G16" i="5"/>
  <c r="D17" i="5"/>
  <c r="E17" i="5"/>
  <c r="F17" i="5"/>
  <c r="G17" i="5"/>
  <c r="D18" i="5"/>
  <c r="E18" i="5"/>
  <c r="F18" i="5"/>
  <c r="G18" i="5"/>
  <c r="D19" i="5"/>
  <c r="E19" i="5"/>
  <c r="F19" i="5"/>
  <c r="G19" i="5"/>
  <c r="D20" i="5"/>
  <c r="E20" i="5"/>
  <c r="F20" i="5"/>
  <c r="G20" i="5"/>
  <c r="G10" i="5"/>
  <c r="F10" i="5"/>
  <c r="E10" i="5"/>
  <c r="D10" i="5"/>
  <c r="G8" i="4"/>
  <c r="F8" i="4"/>
  <c r="E8" i="4"/>
  <c r="J11" i="6" l="1"/>
  <c r="K11" i="6"/>
  <c r="H11" i="6"/>
  <c r="I11" i="6"/>
  <c r="F11" i="6"/>
  <c r="G11" i="6"/>
  <c r="G25" i="3"/>
  <c r="G26" i="3"/>
  <c r="G27" i="3"/>
  <c r="G28" i="3"/>
  <c r="G29" i="3"/>
  <c r="G30" i="3"/>
  <c r="G31" i="3"/>
  <c r="G32" i="3"/>
  <c r="G33" i="3"/>
  <c r="G34" i="3"/>
  <c r="G24" i="3"/>
  <c r="L3" i="3"/>
  <c r="L4" i="3"/>
  <c r="L5" i="3"/>
  <c r="L6" i="3"/>
  <c r="L7" i="3"/>
  <c r="L8" i="3"/>
  <c r="L9" i="3"/>
  <c r="L10" i="3"/>
  <c r="L11" i="3"/>
  <c r="L12" i="3"/>
  <c r="L2" i="3"/>
  <c r="G2" i="3"/>
  <c r="G3" i="3"/>
  <c r="G4" i="3"/>
  <c r="G5" i="3"/>
  <c r="G6" i="3"/>
  <c r="G7" i="3"/>
  <c r="G8" i="3"/>
  <c r="G9" i="3"/>
  <c r="G10" i="3"/>
  <c r="G11" i="3"/>
  <c r="G12" i="3"/>
  <c r="B2" i="3"/>
  <c r="B3" i="3"/>
  <c r="B4" i="3"/>
  <c r="B5" i="3"/>
  <c r="B6" i="3"/>
  <c r="B7" i="3"/>
  <c r="B8" i="3"/>
  <c r="B9" i="3"/>
  <c r="B10" i="3"/>
  <c r="B11" i="3"/>
  <c r="B12" i="3"/>
  <c r="H18" i="2" l="1"/>
  <c r="G18" i="2"/>
  <c r="F18" i="2"/>
  <c r="M7" i="2"/>
  <c r="L7" i="2"/>
  <c r="K7" i="2"/>
  <c r="E2" i="2"/>
  <c r="D2" i="2"/>
  <c r="C2" i="2"/>
  <c r="F23" i="1"/>
  <c r="B15" i="1"/>
  <c r="F3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tc={4BDEED2C-882F-41A8-B5A3-758F150BEF86}</author>
    <author>tc={FB675ACF-5DFE-4826-A45C-22954EDFD410}</author>
    <author>tc={56F94F49-04FB-4295-9386-02B9C005ED01}</author>
    <author>tc={C3341619-2DCE-4635-A966-CECDF007B540}</author>
  </authors>
  <commentList>
    <comment ref="D9" authorId="0" shapeId="0" xr:uid="{4BDEED2C-882F-41A8-B5A3-758F150BEF86}">
      <text>
        <t xml:space="preserve">[Comentário encadeado]
Sua versão do Excel permite que você leia este comentário encadeado, no entanto, as edições serão removidas se o arquivo for aberto em uma versão mais recente do Excel. Saiba mais: https://go.microsoft.com/fwlink/?linkid=870924
Comentário:
    trunca um número para um inteiro, removendo a parte fracionária </t>
      </text>
    </comment>
    <comment ref="E9" authorId="1" shapeId="0" xr:uid="{FB675ACF-5DFE-4826-A45C-22954EDFD410}">
      <text>
        <t xml:space="preserve">[Comentário encadeado]
Sua versão do Excel permite que você leia este comentário encadeado, no entanto, as edições serão removidas se o arquivo for aberto em uma versão mais recente do Excel. Saiba mais: https://go.microsoft.com/fwlink/?linkid=870924
Comentário:
    arredonda um número para baixo até o número inteiro mais próximo </t>
      </text>
    </comment>
    <comment ref="F9" authorId="2" shapeId="0" xr:uid="{56F94F49-04FB-4295-9386-02B9C005ED01}">
      <text>
        <t xml:space="preserve">[Comentário encadeado]
Sua versão do Excel permite que você leia este comentário encadeado, no entanto, as edições serão removidas se o arquivo for aberto em uma versão mais recente do Excel. Saiba mais: https://go.microsoft.com/fwlink/?linkid=870924
Comentário:
    Retorna o núm arredondado para o inteiro par mais próximo. </t>
      </text>
    </comment>
    <comment ref="G9" authorId="3" shapeId="0" xr:uid="{C3341619-2DCE-4635-A966-CECDF007B540}">
      <text>
        <t xml:space="preserve">[Comentário encadeado]
Sua versão do Excel permite que você leia este comentário encadeado, no entanto, as edições serão removidas se o arquivo for aberto em uma versão mais recente do Excel. Saiba mais: https://go.microsoft.com/fwlink/?linkid=870924
Comentário:
    arredonda um número para cima até o número inteiro ímpar mais próximo </t>
      </text>
    </comment>
  </commentList>
</comments>
</file>

<file path=xl/sharedStrings.xml><?xml version="1.0" encoding="utf-8"?>
<sst xmlns="http://schemas.openxmlformats.org/spreadsheetml/2006/main" count="185" uniqueCount="94">
  <si>
    <t xml:space="preserve">Ana </t>
  </si>
  <si>
    <t>Pedro</t>
  </si>
  <si>
    <t>João</t>
  </si>
  <si>
    <t>Roger</t>
  </si>
  <si>
    <t>Felipe</t>
  </si>
  <si>
    <t>A1</t>
  </si>
  <si>
    <t>A2</t>
  </si>
  <si>
    <t>A3</t>
  </si>
  <si>
    <t>A4</t>
  </si>
  <si>
    <t>A5</t>
  </si>
  <si>
    <t>A6</t>
  </si>
  <si>
    <t>A7</t>
  </si>
  <si>
    <t>A8</t>
  </si>
  <si>
    <t>A9</t>
  </si>
  <si>
    <t>A10</t>
  </si>
  <si>
    <t>Número 2</t>
  </si>
  <si>
    <t>Número 1</t>
  </si>
  <si>
    <t>Número 3</t>
  </si>
  <si>
    <t>Número 4</t>
  </si>
  <si>
    <t>Número 5</t>
  </si>
  <si>
    <t>Número 6</t>
  </si>
  <si>
    <t>Número 7</t>
  </si>
  <si>
    <t>Número 8</t>
  </si>
  <si>
    <t>Número 9</t>
  </si>
  <si>
    <t>Número 10</t>
  </si>
  <si>
    <t>SOMA</t>
  </si>
  <si>
    <t>MÁXIMO</t>
  </si>
  <si>
    <t>MÍNIMO</t>
  </si>
  <si>
    <t>Nome</t>
  </si>
  <si>
    <t>Ana Silva</t>
  </si>
  <si>
    <t>Eduarda Martins</t>
  </si>
  <si>
    <t>Gabriela Souza</t>
  </si>
  <si>
    <t>Hector Vargas</t>
  </si>
  <si>
    <t>Bruno Gomes</t>
  </si>
  <si>
    <t>Diego Lima</t>
  </si>
  <si>
    <t>ARRED</t>
  </si>
  <si>
    <t>ARREDONDAR.PARA.BAIXO</t>
  </si>
  <si>
    <t>ARREDONDAR.PARA.CIMA</t>
  </si>
  <si>
    <t>Números</t>
  </si>
  <si>
    <t>TRUNCAR</t>
  </si>
  <si>
    <t>INT</t>
  </si>
  <si>
    <t>PAR</t>
  </si>
  <si>
    <t>ÍMPAR</t>
  </si>
  <si>
    <t>DIA</t>
  </si>
  <si>
    <t>MÊS</t>
  </si>
  <si>
    <t>MÊS POR EXTENSO</t>
  </si>
  <si>
    <t>ANO</t>
  </si>
  <si>
    <t>DATA FORMATADA</t>
  </si>
  <si>
    <t>DATA POR EXTENSO</t>
  </si>
  <si>
    <t>DIA DA SEMANA</t>
  </si>
  <si>
    <t>Maiúscula</t>
  </si>
  <si>
    <t>Minúscula</t>
  </si>
  <si>
    <t>Pri.Maiúscula</t>
  </si>
  <si>
    <t>Núm.Caract</t>
  </si>
  <si>
    <t>Arrumar</t>
  </si>
  <si>
    <t>Rept</t>
  </si>
  <si>
    <t xml:space="preserve">         rodrigo COSTA        </t>
  </si>
  <si>
    <t>Cidade</t>
  </si>
  <si>
    <t>Idade</t>
  </si>
  <si>
    <t>Salário</t>
  </si>
  <si>
    <t>São Paulo</t>
  </si>
  <si>
    <t>Bruna Alves</t>
  </si>
  <si>
    <t>Rio de Janeiro</t>
  </si>
  <si>
    <t>Afonso Alves</t>
  </si>
  <si>
    <t>Belo Horizonte</t>
  </si>
  <si>
    <t>Caroline Gois Abreu</t>
  </si>
  <si>
    <t>Salvador</t>
  </si>
  <si>
    <t>Henrique Oliveira Silva</t>
  </si>
  <si>
    <t>Porto Alegre</t>
  </si>
  <si>
    <t>Kaliane Almeida Abreu</t>
  </si>
  <si>
    <t>Curitiba</t>
  </si>
  <si>
    <t>Ryan Merryman</t>
  </si>
  <si>
    <t>Recife</t>
  </si>
  <si>
    <t>Robson Martins</t>
  </si>
  <si>
    <t>Fortaleza</t>
  </si>
  <si>
    <t>Thiago Santana Gomes</t>
  </si>
  <si>
    <t>Erika Souza Aguiar</t>
  </si>
  <si>
    <t>Felipe Borges Aguiar</t>
  </si>
  <si>
    <t>Osasco</t>
  </si>
  <si>
    <t>Tiago de Oliveira</t>
  </si>
  <si>
    <t>Frederico Rubens</t>
  </si>
  <si>
    <t>CPF</t>
  </si>
  <si>
    <t>123.456.789-10</t>
  </si>
  <si>
    <t>123.456.789-13</t>
  </si>
  <si>
    <t>123.456.789-16</t>
  </si>
  <si>
    <t>123.456.789-18</t>
  </si>
  <si>
    <t>123.456.789-11</t>
  </si>
  <si>
    <t>123.456.789-12</t>
  </si>
  <si>
    <t>123.456.789-14</t>
  </si>
  <si>
    <t>123.456.789-15</t>
  </si>
  <si>
    <t>123.456.789-17</t>
  </si>
  <si>
    <t>123.456.789-19</t>
  </si>
  <si>
    <t>123.456.789-20</t>
  </si>
  <si>
    <t>123.456.789-21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</si>
</sst>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4" formatCode="_-&quot;R$&quot;\ * #,##0.00_-;\-&quot;R$&quot;\ * #,##0.00_-;_-&quot;R$&quot;\ * &quot;-&quot;??_-;_-@_-"/>
    <numFmt numFmtId="164" formatCode="&quot;R$&quot;\ #,##0.00"/>
  </numFmts>
  <fonts count="8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  <font>
      <b/>
      <sz val="14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4"/>
      <color theme="0"/>
      <name val="Aptos Narrow"/>
      <family val="2"/>
      <scheme val="minor"/>
    </font>
    <font>
      <sz val="14"/>
      <color theme="1"/>
      <name val="Aptos Narrow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002060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</borders>
  <cellStyleXfs count="2">
    <xf numFmtId="0" fontId="0" fillId="0" borderId="0"/>
    <xf numFmtId="44" fontId="5" fillId="0" borderId="0" applyFont="0" applyFill="0" applyBorder="0" applyAlignment="0" applyProtection="0"/>
  </cellStyleXfs>
  <cellXfs count="21">
    <xf numFmtId="0" fontId="0" fillId="0" borderId="0" xfId="0"/>
    <xf numFmtId="0" fontId="0" fillId="0" borderId="1" xfId="0" applyBorder="1" applyAlignment="1">
      <alignment horizontal="center"/>
    </xf>
    <xf numFmtId="0" fontId="0" fillId="2" borderId="1" xfId="0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2" fillId="0" borderId="0" xfId="0" applyFont="1" applyAlignment="1">
      <alignment horizontal="center"/>
    </xf>
    <xf numFmtId="0" fontId="0" fillId="0" borderId="0" xfId="0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4" fillId="2" borderId="1" xfId="0" applyFont="1" applyFill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14" fontId="0" fillId="0" borderId="0" xfId="0" applyNumberFormat="1"/>
    <xf numFmtId="0" fontId="6" fillId="3" borderId="2" xfId="0" applyFont="1" applyFill="1" applyBorder="1"/>
    <xf numFmtId="44" fontId="6" fillId="3" borderId="2" xfId="1" applyFont="1" applyFill="1" applyBorder="1" applyAlignment="1">
      <alignment horizontal="right"/>
    </xf>
    <xf numFmtId="0" fontId="7" fillId="0" borderId="3" xfId="0" applyFont="1" applyBorder="1"/>
    <xf numFmtId="44" fontId="7" fillId="0" borderId="3" xfId="1" applyFont="1" applyBorder="1"/>
    <xf numFmtId="44" fontId="6" fillId="3" borderId="2" xfId="1" applyFont="1" applyFill="1" applyBorder="1" applyAlignment="1">
      <alignment horizontal="center" vertical="center"/>
    </xf>
    <xf numFmtId="1" fontId="7" fillId="0" borderId="3" xfId="1" applyNumberFormat="1" applyFont="1" applyBorder="1" applyAlignment="1">
      <alignment horizontal="center" vertical="center"/>
    </xf>
    <xf numFmtId="0" fontId="3" fillId="0" borderId="0" xfId="0" applyFont="1"/>
    <xf numFmtId="0" fontId="3" fillId="0" borderId="0" xfId="0" applyFont="1" applyAlignment="1">
      <alignment horizontal="center" vertical="center"/>
    </xf>
    <xf numFmtId="164" fontId="6" fillId="3" borderId="2" xfId="1" applyNumberFormat="1" applyFont="1" applyFill="1" applyBorder="1" applyAlignment="1">
      <alignment horizontal="right"/>
    </xf>
    <xf numFmtId="164" fontId="3" fillId="0" borderId="0" xfId="0" applyNumberFormat="1" applyFont="1"/>
    <xf numFmtId="164" fontId="0" fillId="0" borderId="0" xfId="0" applyNumberFormat="1"/>
  </cellXfs>
  <cellStyles count="2">
    <cellStyle name="Moeda" xfId="1" builtinId="4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persons/person.xml><?xml version="1.0" encoding="utf-8"?>
<personList xmlns="http://schemas.microsoft.com/office/spreadsheetml/2018/threadedcomments" xmlns:x="http://schemas.openxmlformats.org/spreadsheetml/2006/main">
  <person displayName="Office" id="{B22F1EF0-7814-4D8B-9C7E-B2721D825FBC}" userId="S::244752@office365online.co::0645b2d4-3c7c-48cc-be33-a90cf6ba962b" providerId="AD"/>
</personList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D9" dT="2024-11-26T02:00:35.87" personId="{B22F1EF0-7814-4D8B-9C7E-B2721D825FBC}" id="{4BDEED2C-882F-41A8-B5A3-758F150BEF86}">
    <text xml:space="preserve">trunca um número para um inteiro, removendo a parte fracionária </text>
  </threadedComment>
  <threadedComment ref="E9" dT="2024-11-26T02:01:16.92" personId="{B22F1EF0-7814-4D8B-9C7E-B2721D825FBC}" id="{FB675ACF-5DFE-4826-A45C-22954EDFD410}">
    <text xml:space="preserve">arredonda um número para baixo até o número inteiro mais próximo </text>
  </threadedComment>
  <threadedComment ref="F9" dT="2024-11-26T02:02:01.56" personId="{B22F1EF0-7814-4D8B-9C7E-B2721D825FBC}" id="{56F94F49-04FB-4295-9386-02B9C005ED01}">
    <text xml:space="preserve">Retorna o núm arredondado para o inteiro par mais próximo. </text>
  </threadedComment>
  <threadedComment ref="G9" dT="2024-11-26T02:02:38.44" personId="{B22F1EF0-7814-4D8B-9C7E-B2721D825FBC}" id="{C3341619-2DCE-4635-A966-CECDF007B540}">
    <text xml:space="preserve">arredonda um número para cima até o número inteiro ímpar mais próximo </text>
  </threadedComment>
</ThreadedComments>
</file>

<file path=xl/worksheets/_rels/sheet5.xml.rels><?xml version="1.0" encoding="UTF-8" standalone="yes"?>
<Relationships xmlns="http://schemas.openxmlformats.org/package/2006/relationships"><Relationship Id="rId3" Type="http://schemas.microsoft.com/office/2017/10/relationships/threadedComment" Target="../threadedComments/threadedComment1.xml"/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E84412-7837-4B2E-A202-7778C15D44A5}">
  <sheetPr codeName="Planilha1"/>
  <dimension ref="A3:F23"/>
  <sheetViews>
    <sheetView workbookViewId="0">
      <selection activeCell="F20" sqref="F20"/>
    </sheetView>
  </sheetViews>
  <sheetFormatPr defaultRowHeight="14.6" x14ac:dyDescent="0.4"/>
  <cols>
    <col min="6" max="6" width="26.07421875" bestFit="1" customWidth="1"/>
  </cols>
  <sheetData>
    <row r="3" spans="1:6" x14ac:dyDescent="0.4">
      <c r="A3" t="s">
        <v>0</v>
      </c>
      <c r="B3" t="s">
        <v>1</v>
      </c>
      <c r="C3" t="s">
        <v>2</v>
      </c>
      <c r="D3" t="s">
        <v>3</v>
      </c>
      <c r="E3" t="s">
        <v>4</v>
      </c>
      <c r="F3" t="str">
        <f>CONCATENATE(A3, ", ",B3, ", ",C3, ", ",D3, ", ",E3)</f>
        <v>Ana , Pedro, João, Roger, Felipe</v>
      </c>
    </row>
    <row r="6" spans="1:6" x14ac:dyDescent="0.4">
      <c r="A6" t="s">
        <v>5</v>
      </c>
    </row>
    <row r="7" spans="1:6" x14ac:dyDescent="0.4">
      <c r="A7" t="s">
        <v>6</v>
      </c>
    </row>
    <row r="8" spans="1:6" x14ac:dyDescent="0.4">
      <c r="A8" t="s">
        <v>7</v>
      </c>
    </row>
    <row r="9" spans="1:6" x14ac:dyDescent="0.4">
      <c r="A9" t="s">
        <v>8</v>
      </c>
    </row>
    <row r="10" spans="1:6" x14ac:dyDescent="0.4">
      <c r="A10" t="s">
        <v>9</v>
      </c>
    </row>
    <row r="11" spans="1:6" x14ac:dyDescent="0.4">
      <c r="A11" t="s">
        <v>10</v>
      </c>
    </row>
    <row r="12" spans="1:6" x14ac:dyDescent="0.4">
      <c r="A12" t="s">
        <v>11</v>
      </c>
    </row>
    <row r="13" spans="1:6" x14ac:dyDescent="0.4">
      <c r="A13" t="s">
        <v>12</v>
      </c>
    </row>
    <row r="14" spans="1:6" x14ac:dyDescent="0.4">
      <c r="A14" t="s">
        <v>13</v>
      </c>
    </row>
    <row r="15" spans="1:6" x14ac:dyDescent="0.4">
      <c r="A15" t="s">
        <v>14</v>
      </c>
      <c r="B15" t="str">
        <f>CONCATENATE(A6, ", ",A7, ", ",A8, ", ",A9, ", ",A10, ", ",A11, ", ",A12, ", ",A13, ", ",A14, ", ",A15)</f>
        <v>A1, A2, A3, A4, A5, A6, A7, A8, A9, A10</v>
      </c>
    </row>
    <row r="20" spans="1:6" x14ac:dyDescent="0.4">
      <c r="A20">
        <v>1</v>
      </c>
      <c r="B20">
        <v>2</v>
      </c>
      <c r="C20">
        <v>3</v>
      </c>
      <c r="D20">
        <v>4</v>
      </c>
      <c r="E20">
        <v>5</v>
      </c>
    </row>
    <row r="21" spans="1:6" x14ac:dyDescent="0.4">
      <c r="A21">
        <v>6</v>
      </c>
      <c r="B21">
        <v>7</v>
      </c>
      <c r="C21">
        <v>8</v>
      </c>
      <c r="D21">
        <v>9</v>
      </c>
      <c r="E21">
        <v>10</v>
      </c>
    </row>
    <row r="22" spans="1:6" x14ac:dyDescent="0.4">
      <c r="A22">
        <v>11</v>
      </c>
      <c r="B22">
        <v>12</v>
      </c>
      <c r="C22">
        <v>13</v>
      </c>
      <c r="D22">
        <v>14</v>
      </c>
      <c r="E22">
        <v>15</v>
      </c>
    </row>
    <row r="23" spans="1:6" x14ac:dyDescent="0.4">
      <c r="A23">
        <v>16</v>
      </c>
      <c r="B23">
        <v>17</v>
      </c>
      <c r="C23">
        <v>18</v>
      </c>
      <c r="D23">
        <v>19</v>
      </c>
      <c r="E23">
        <v>20</v>
      </c>
      <c r="F23" t="str">
        <f>CONCATENATE(A20, ", ",B20, ", ",C20, ", ",D20, ", ",E20, ", ",A21, ", ",B21, ", ",C21, ", ",D21, ", ",E21, ", ",A22, ", ",B22, ", ",C22, ", ",D22, ", ",E22, ", ",A23, ", ",B23, ", ",C23, ", ",D23, ", ",E23)</f>
        <v>1, 2, 3, 4, 5, 6, 7, 8, 9, 10, 11, 12, 13, 14, 15, 16, 17, 18, 19, 20</v>
      </c>
    </row>
  </sheetData>
  <phoneticPr fontId="1" type="noConversion"/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E6AFF3-9FD5-4F9B-BCCA-7218D92DB605}">
  <sheetPr codeName="Planilha2"/>
  <dimension ref="A1:M18"/>
  <sheetViews>
    <sheetView topLeftCell="A7" workbookViewId="0">
      <selection activeCell="H20" sqref="H20"/>
    </sheetView>
  </sheetViews>
  <sheetFormatPr defaultRowHeight="14.6" x14ac:dyDescent="0.4"/>
  <sheetData>
    <row r="1" spans="1:13" x14ac:dyDescent="0.4">
      <c r="A1" s="2" t="s">
        <v>16</v>
      </c>
      <c r="B1" s="2" t="s">
        <v>15</v>
      </c>
      <c r="C1" t="s">
        <v>25</v>
      </c>
      <c r="D1" t="s">
        <v>26</v>
      </c>
      <c r="E1" t="s">
        <v>27</v>
      </c>
    </row>
    <row r="2" spans="1:13" x14ac:dyDescent="0.4">
      <c r="A2" s="3">
        <v>3</v>
      </c>
      <c r="B2" s="3">
        <v>8</v>
      </c>
      <c r="C2">
        <f>SUM(A2:B2)</f>
        <v>11</v>
      </c>
      <c r="D2">
        <f>MAX(A2:B2)</f>
        <v>8</v>
      </c>
      <c r="E2">
        <f>MIN(A2:B2)</f>
        <v>3</v>
      </c>
    </row>
    <row r="6" spans="1:13" x14ac:dyDescent="0.4">
      <c r="A6" s="2" t="s">
        <v>16</v>
      </c>
      <c r="B6" s="2" t="s">
        <v>15</v>
      </c>
      <c r="C6" s="2" t="s">
        <v>17</v>
      </c>
      <c r="D6" s="2" t="s">
        <v>18</v>
      </c>
      <c r="E6" s="2" t="s">
        <v>19</v>
      </c>
      <c r="F6" s="2" t="s">
        <v>20</v>
      </c>
      <c r="G6" s="2" t="s">
        <v>21</v>
      </c>
      <c r="H6" s="2" t="s">
        <v>22</v>
      </c>
      <c r="I6" s="2" t="s">
        <v>23</v>
      </c>
      <c r="J6" s="2" t="s">
        <v>24</v>
      </c>
      <c r="K6" t="s">
        <v>25</v>
      </c>
      <c r="L6" t="s">
        <v>26</v>
      </c>
      <c r="M6" t="s">
        <v>27</v>
      </c>
    </row>
    <row r="7" spans="1:13" x14ac:dyDescent="0.4">
      <c r="A7" s="3">
        <v>3</v>
      </c>
      <c r="B7" s="3">
        <v>8</v>
      </c>
      <c r="C7" s="3">
        <v>13</v>
      </c>
      <c r="D7" s="3">
        <v>18</v>
      </c>
      <c r="E7" s="3">
        <v>23</v>
      </c>
      <c r="F7" s="3">
        <v>28</v>
      </c>
      <c r="G7" s="3">
        <v>33</v>
      </c>
      <c r="H7" s="3">
        <v>38</v>
      </c>
      <c r="I7" s="3">
        <v>43</v>
      </c>
      <c r="J7" s="3">
        <v>48</v>
      </c>
      <c r="K7">
        <f>SUM(A6:J7)</f>
        <v>255</v>
      </c>
      <c r="L7">
        <f>MAX(A6:J7)</f>
        <v>48</v>
      </c>
      <c r="M7">
        <f>MIN(A6:J7)</f>
        <v>3</v>
      </c>
    </row>
    <row r="12" spans="1:13" x14ac:dyDescent="0.4">
      <c r="A12" s="2" t="s">
        <v>16</v>
      </c>
      <c r="B12" s="2" t="s">
        <v>15</v>
      </c>
      <c r="C12" s="2" t="s">
        <v>17</v>
      </c>
      <c r="D12" s="2" t="s">
        <v>18</v>
      </c>
      <c r="E12" s="2" t="s">
        <v>19</v>
      </c>
    </row>
    <row r="13" spans="1:13" x14ac:dyDescent="0.4">
      <c r="A13" s="1">
        <v>5</v>
      </c>
      <c r="B13" s="1">
        <v>10</v>
      </c>
      <c r="C13" s="1">
        <v>15</v>
      </c>
      <c r="D13" s="1">
        <v>20</v>
      </c>
      <c r="E13" s="1">
        <v>25</v>
      </c>
    </row>
    <row r="14" spans="1:13" x14ac:dyDescent="0.4">
      <c r="A14" s="1">
        <v>30</v>
      </c>
      <c r="B14" s="1">
        <v>35</v>
      </c>
      <c r="C14" s="1">
        <v>40</v>
      </c>
      <c r="D14" s="1">
        <v>45</v>
      </c>
      <c r="E14" s="1">
        <v>50</v>
      </c>
    </row>
    <row r="15" spans="1:13" x14ac:dyDescent="0.4">
      <c r="A15" s="1">
        <v>55</v>
      </c>
      <c r="B15" s="1">
        <v>60</v>
      </c>
      <c r="C15" s="1">
        <v>65</v>
      </c>
      <c r="D15" s="1">
        <v>70</v>
      </c>
      <c r="E15" s="1">
        <v>75</v>
      </c>
    </row>
    <row r="16" spans="1:13" x14ac:dyDescent="0.4">
      <c r="A16" s="1">
        <v>80</v>
      </c>
      <c r="B16" s="1">
        <v>85</v>
      </c>
      <c r="C16" s="1">
        <v>90</v>
      </c>
      <c r="D16" s="1">
        <v>95</v>
      </c>
      <c r="E16" s="1">
        <v>100</v>
      </c>
    </row>
    <row r="17" spans="1:8" x14ac:dyDescent="0.4">
      <c r="A17" s="1">
        <v>105</v>
      </c>
      <c r="B17" s="1">
        <v>110</v>
      </c>
      <c r="C17" s="1">
        <v>115</v>
      </c>
      <c r="D17" s="1">
        <v>120</v>
      </c>
      <c r="E17" s="1">
        <v>125</v>
      </c>
      <c r="F17" t="s">
        <v>25</v>
      </c>
      <c r="G17" t="s">
        <v>26</v>
      </c>
      <c r="H17" t="s">
        <v>27</v>
      </c>
    </row>
    <row r="18" spans="1:8" x14ac:dyDescent="0.4">
      <c r="A18" s="1">
        <v>130</v>
      </c>
      <c r="B18" s="1">
        <v>135</v>
      </c>
      <c r="C18" s="1">
        <v>140</v>
      </c>
      <c r="D18" s="1">
        <v>145</v>
      </c>
      <c r="E18" s="1">
        <v>150</v>
      </c>
      <c r="F18">
        <f>SUM(A13:E18)</f>
        <v>2325</v>
      </c>
      <c r="G18">
        <f>MAX(A13:E18)</f>
        <v>150</v>
      </c>
      <c r="H18">
        <f>MIN(A13:E18)</f>
        <v>5</v>
      </c>
    </row>
  </sheetData>
  <phoneticPr fontId="1" type="noConversion"/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07B7A1-EB3D-4268-99E1-B930E38D4CE5}">
  <sheetPr codeName="Planilha3"/>
  <dimension ref="A1:L34"/>
  <sheetViews>
    <sheetView workbookViewId="0">
      <selection activeCell="G24" sqref="G24:G34"/>
    </sheetView>
  </sheetViews>
  <sheetFormatPr defaultRowHeight="14.6" x14ac:dyDescent="0.4"/>
  <cols>
    <col min="1" max="1" width="14" bestFit="1" customWidth="1"/>
    <col min="6" max="6" width="14" bestFit="1" customWidth="1"/>
    <col min="11" max="11" width="14" bestFit="1" customWidth="1"/>
  </cols>
  <sheetData>
    <row r="1" spans="1:12" x14ac:dyDescent="0.4">
      <c r="A1" s="4" t="s">
        <v>28</v>
      </c>
      <c r="F1" s="4" t="s">
        <v>28</v>
      </c>
      <c r="K1" s="4" t="s">
        <v>28</v>
      </c>
    </row>
    <row r="2" spans="1:12" x14ac:dyDescent="0.4">
      <c r="A2" t="s">
        <v>29</v>
      </c>
      <c r="B2" t="str">
        <f>IF(COUNTIF($A$1:$A2, A2) &gt; 1, "Duplicado", "-")</f>
        <v>-</v>
      </c>
      <c r="F2" t="s">
        <v>29</v>
      </c>
      <c r="G2" t="str">
        <f>IF(COUNTIF($F$1:$F2, F2) &gt; 1, "Duplicado", "-")</f>
        <v>-</v>
      </c>
      <c r="K2" t="s">
        <v>29</v>
      </c>
      <c r="L2" t="str">
        <f>IF(COUNTIF($K$2:$K2, K2) &gt; 1, "Duplicado", "-")</f>
        <v>-</v>
      </c>
    </row>
    <row r="3" spans="1:12" x14ac:dyDescent="0.4">
      <c r="A3" t="s">
        <v>30</v>
      </c>
      <c r="B3" t="str">
        <f>IF(COUNTIF($A$1:$A3, A3) &gt; 1, "Duplicado", "-")</f>
        <v>-</v>
      </c>
      <c r="F3" t="s">
        <v>30</v>
      </c>
      <c r="G3" t="str">
        <f>IF(COUNTIF($F$1:$F3, F3) &gt; 1, "Duplicado", "-")</f>
        <v>-</v>
      </c>
      <c r="K3" t="s">
        <v>30</v>
      </c>
      <c r="L3" t="str">
        <f>IF(COUNTIF($K$2:$K3, K3) &gt; 1, "Duplicado", "-")</f>
        <v>-</v>
      </c>
    </row>
    <row r="4" spans="1:12" x14ac:dyDescent="0.4">
      <c r="A4" t="s">
        <v>29</v>
      </c>
      <c r="B4" t="str">
        <f>IF(COUNTIF($A$1:$A4, A4) &gt; 1, "Duplicado", "-")</f>
        <v>Duplicado</v>
      </c>
      <c r="F4" t="s">
        <v>29</v>
      </c>
      <c r="G4" t="str">
        <f>IF(COUNTIF($F$1:$F4, F4) &gt; 1, "Duplicado", "-")</f>
        <v>Duplicado</v>
      </c>
      <c r="K4" t="s">
        <v>29</v>
      </c>
      <c r="L4" t="str">
        <f>IF(COUNTIF($K$2:$K4, K4) &gt; 1, "Duplicado", "-")</f>
        <v>Duplicado</v>
      </c>
    </row>
    <row r="5" spans="1:12" x14ac:dyDescent="0.4">
      <c r="A5" t="s">
        <v>31</v>
      </c>
      <c r="B5" t="str">
        <f>IF(COUNTIF($A$1:$A5, A5) &gt; 1, "Duplicado", "-")</f>
        <v>-</v>
      </c>
      <c r="F5" t="s">
        <v>31</v>
      </c>
      <c r="G5" t="str">
        <f>IF(COUNTIF($F$1:$F5, F5) &gt; 1, "Duplicado", "-")</f>
        <v>-</v>
      </c>
      <c r="K5" t="s">
        <v>31</v>
      </c>
      <c r="L5" t="str">
        <f>IF(COUNTIF($K$2:$K5, K5) &gt; 1, "Duplicado", "-")</f>
        <v>-</v>
      </c>
    </row>
    <row r="6" spans="1:12" x14ac:dyDescent="0.4">
      <c r="A6" t="s">
        <v>32</v>
      </c>
      <c r="B6" t="str">
        <f>IF(COUNTIF($A$1:$A6, A6) &gt; 1, "Duplicado", "-")</f>
        <v>-</v>
      </c>
      <c r="F6" t="s">
        <v>32</v>
      </c>
      <c r="G6" t="str">
        <f>IF(COUNTIF($F$1:$F6, F6) &gt; 1, "Duplicado", "-")</f>
        <v>-</v>
      </c>
      <c r="K6" t="s">
        <v>32</v>
      </c>
      <c r="L6" t="str">
        <f>IF(COUNTIF($K$2:$K6, K6) &gt; 1, "Duplicado", "-")</f>
        <v>-</v>
      </c>
    </row>
    <row r="7" spans="1:12" x14ac:dyDescent="0.4">
      <c r="A7" t="s">
        <v>31</v>
      </c>
      <c r="B7" t="str">
        <f>IF(COUNTIF($A$1:$A7, A7) &gt; 1, "Duplicado", "-")</f>
        <v>Duplicado</v>
      </c>
      <c r="F7" t="s">
        <v>31</v>
      </c>
      <c r="G7" t="str">
        <f>IF(COUNTIF($F$1:$F7, F7) &gt; 1, "Duplicado", "-")</f>
        <v>Duplicado</v>
      </c>
      <c r="K7" t="s">
        <v>31</v>
      </c>
      <c r="L7" t="str">
        <f>IF(COUNTIF($K$2:$K7, K7) &gt; 1, "Duplicado", "-")</f>
        <v>Duplicado</v>
      </c>
    </row>
    <row r="8" spans="1:12" x14ac:dyDescent="0.4">
      <c r="A8" t="s">
        <v>31</v>
      </c>
      <c r="B8" t="str">
        <f>IF(COUNTIF($A$1:$A8, A8) &gt; 1, "Duplicado", "-")</f>
        <v>Duplicado</v>
      </c>
      <c r="F8" t="s">
        <v>31</v>
      </c>
      <c r="G8" t="str">
        <f>IF(COUNTIF($F$1:$F8, F8) &gt; 1, "Duplicado", "-")</f>
        <v>Duplicado</v>
      </c>
      <c r="K8" t="s">
        <v>31</v>
      </c>
      <c r="L8" t="str">
        <f>IF(COUNTIF($K$2:$K8, K8) &gt; 1, "Duplicado", "-")</f>
        <v>Duplicado</v>
      </c>
    </row>
    <row r="9" spans="1:12" x14ac:dyDescent="0.4">
      <c r="A9" t="s">
        <v>33</v>
      </c>
      <c r="B9" t="str">
        <f>IF(COUNTIF($A$1:$A9, A9) &gt; 1, "Duplicado", "-")</f>
        <v>-</v>
      </c>
      <c r="F9" t="s">
        <v>33</v>
      </c>
      <c r="G9" t="str">
        <f>IF(COUNTIF($F$1:$F9, F9) &gt; 1, "Duplicado", "-")</f>
        <v>-</v>
      </c>
      <c r="K9" t="s">
        <v>33</v>
      </c>
      <c r="L9" t="str">
        <f>IF(COUNTIF($K$2:$K9, K9) &gt; 1, "Duplicado", "-")</f>
        <v>-</v>
      </c>
    </row>
    <row r="10" spans="1:12" x14ac:dyDescent="0.4">
      <c r="A10" t="s">
        <v>30</v>
      </c>
      <c r="B10" t="str">
        <f>IF(COUNTIF($A$1:$A10, A10) &gt; 1, "Duplicado", "-")</f>
        <v>Duplicado</v>
      </c>
      <c r="F10" t="s">
        <v>30</v>
      </c>
      <c r="G10" t="str">
        <f>IF(COUNTIF($F$1:$F10, F10) &gt; 1, "Duplicado", "-")</f>
        <v>Duplicado</v>
      </c>
      <c r="K10" t="s">
        <v>30</v>
      </c>
      <c r="L10" t="str">
        <f>IF(COUNTIF($K$2:$K10, K10) &gt; 1, "Duplicado", "-")</f>
        <v>Duplicado</v>
      </c>
    </row>
    <row r="11" spans="1:12" x14ac:dyDescent="0.4">
      <c r="A11" t="s">
        <v>34</v>
      </c>
      <c r="B11" t="str">
        <f>IF(COUNTIF($A$1:$A11, A11) &gt; 1, "Duplicado", "-")</f>
        <v>-</v>
      </c>
      <c r="F11" t="s">
        <v>34</v>
      </c>
      <c r="G11" t="str">
        <f>IF(COUNTIF($F$1:$F11, F11) &gt; 1, "Duplicado", "-")</f>
        <v>-</v>
      </c>
      <c r="K11" t="s">
        <v>34</v>
      </c>
      <c r="L11" t="str">
        <f>IF(COUNTIF($K$2:$K11, K11) &gt; 1, "Duplicado", "-")</f>
        <v>-</v>
      </c>
    </row>
    <row r="12" spans="1:12" x14ac:dyDescent="0.4">
      <c r="A12" t="s">
        <v>30</v>
      </c>
      <c r="B12" t="str">
        <f>IF(COUNTIF($A$1:$A12, A12) &gt; 1, "Duplicado", "-")</f>
        <v>Duplicado</v>
      </c>
      <c r="F12" t="s">
        <v>30</v>
      </c>
      <c r="G12" t="str">
        <f>IF(COUNTIF($F$1:$F12, F12) &gt; 1, "Duplicado", "-")</f>
        <v>Duplicado</v>
      </c>
      <c r="K12" t="s">
        <v>30</v>
      </c>
      <c r="L12" t="str">
        <f>IF(COUNTIF($K$2:$K12, K12) &gt; 1, "Duplicado", "-")</f>
        <v>Duplicado</v>
      </c>
    </row>
    <row r="23" spans="1:11" x14ac:dyDescent="0.4">
      <c r="A23" s="4" t="s">
        <v>28</v>
      </c>
      <c r="F23" s="4" t="s">
        <v>28</v>
      </c>
      <c r="K23" s="4" t="s">
        <v>28</v>
      </c>
    </row>
    <row r="24" spans="1:11" x14ac:dyDescent="0.4">
      <c r="A24" t="s">
        <v>29</v>
      </c>
      <c r="F24" t="s">
        <v>30</v>
      </c>
      <c r="G24" t="str">
        <f>IF(COUNTIF($F$24:$F24, F24) &gt; 1, "Duplicado", "-")</f>
        <v>-</v>
      </c>
      <c r="K24" t="s">
        <v>29</v>
      </c>
    </row>
    <row r="25" spans="1:11" x14ac:dyDescent="0.4">
      <c r="A25" t="s">
        <v>30</v>
      </c>
      <c r="F25" t="s">
        <v>29</v>
      </c>
      <c r="G25" t="str">
        <f>IF(COUNTIF($F$24:$F25, F25) &gt; 1, "Duplicado", "-")</f>
        <v>-</v>
      </c>
      <c r="K25" t="s">
        <v>30</v>
      </c>
    </row>
    <row r="26" spans="1:11" x14ac:dyDescent="0.4">
      <c r="A26" t="s">
        <v>29</v>
      </c>
      <c r="F26" t="s">
        <v>29</v>
      </c>
      <c r="G26" t="str">
        <f>IF(COUNTIF($F$24:$F26, F26) &gt; 1, "Duplicado", "-")</f>
        <v>Duplicado</v>
      </c>
      <c r="K26" t="s">
        <v>29</v>
      </c>
    </row>
    <row r="27" spans="1:11" x14ac:dyDescent="0.4">
      <c r="A27" t="s">
        <v>31</v>
      </c>
      <c r="F27" t="s">
        <v>31</v>
      </c>
      <c r="G27" t="str">
        <f>IF(COUNTIF($F$24:$F27, F27) &gt; 1, "Duplicado", "-")</f>
        <v>-</v>
      </c>
      <c r="K27" t="s">
        <v>31</v>
      </c>
    </row>
    <row r="28" spans="1:11" x14ac:dyDescent="0.4">
      <c r="A28" t="s">
        <v>32</v>
      </c>
      <c r="F28" t="s">
        <v>31</v>
      </c>
      <c r="G28" t="str">
        <f>IF(COUNTIF($F$24:$F28, F28) &gt; 1, "Duplicado", "-")</f>
        <v>Duplicado</v>
      </c>
      <c r="K28" t="s">
        <v>32</v>
      </c>
    </row>
    <row r="29" spans="1:11" x14ac:dyDescent="0.4">
      <c r="A29" t="s">
        <v>31</v>
      </c>
      <c r="F29" t="s">
        <v>32</v>
      </c>
      <c r="G29" t="str">
        <f>IF(COUNTIF($F$24:$F29, F29) &gt; 1, "Duplicado", "-")</f>
        <v>-</v>
      </c>
      <c r="K29" t="s">
        <v>31</v>
      </c>
    </row>
    <row r="30" spans="1:11" x14ac:dyDescent="0.4">
      <c r="A30" t="s">
        <v>31</v>
      </c>
      <c r="F30" t="s">
        <v>31</v>
      </c>
      <c r="G30" t="str">
        <f>IF(COUNTIF($F$24:$F30, F30) &gt; 1, "Duplicado", "-")</f>
        <v>Duplicado</v>
      </c>
      <c r="K30" t="s">
        <v>31</v>
      </c>
    </row>
    <row r="31" spans="1:11" x14ac:dyDescent="0.4">
      <c r="A31" t="s">
        <v>33</v>
      </c>
      <c r="F31" t="s">
        <v>33</v>
      </c>
      <c r="G31" t="str">
        <f>IF(COUNTIF($F$24:$F31, F31) &gt; 1, "Duplicado", "-")</f>
        <v>-</v>
      </c>
      <c r="K31" t="s">
        <v>33</v>
      </c>
    </row>
    <row r="32" spans="1:11" x14ac:dyDescent="0.4">
      <c r="A32" t="s">
        <v>30</v>
      </c>
      <c r="F32" t="s">
        <v>30</v>
      </c>
      <c r="G32" t="str">
        <f>IF(COUNTIF($F$24:$F32, F32) &gt; 1, "Duplicado", "-")</f>
        <v>Duplicado</v>
      </c>
      <c r="K32" t="s">
        <v>30</v>
      </c>
    </row>
    <row r="33" spans="1:11" x14ac:dyDescent="0.4">
      <c r="A33" t="s">
        <v>34</v>
      </c>
      <c r="F33" t="s">
        <v>30</v>
      </c>
      <c r="G33" t="str">
        <f>IF(COUNTIF($F$24:$F33, F33) &gt; 1, "Duplicado", "-")</f>
        <v>Duplicado</v>
      </c>
      <c r="K33" t="s">
        <v>34</v>
      </c>
    </row>
    <row r="34" spans="1:11" x14ac:dyDescent="0.4">
      <c r="A34" t="s">
        <v>30</v>
      </c>
      <c r="F34" t="s">
        <v>34</v>
      </c>
      <c r="G34" t="str">
        <f>IF(COUNTIF($F$24:$F34, F34) &gt; 1, "Duplicado", "-")</f>
        <v>-</v>
      </c>
      <c r="K34" t="s">
        <v>30</v>
      </c>
    </row>
  </sheetData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1BEFAD-A8BD-4D8C-A4EF-A1E6147342EF}">
  <sheetPr codeName="Planilha4"/>
  <dimension ref="D7:G23"/>
  <sheetViews>
    <sheetView workbookViewId="0">
      <selection activeCell="E12" sqref="E12"/>
    </sheetView>
  </sheetViews>
  <sheetFormatPr defaultRowHeight="14.6" x14ac:dyDescent="0.4"/>
  <cols>
    <col min="6" max="6" width="22.84375" bestFit="1" customWidth="1"/>
    <col min="7" max="7" width="22.15234375" bestFit="1" customWidth="1"/>
  </cols>
  <sheetData>
    <row r="7" spans="4:7" x14ac:dyDescent="0.4">
      <c r="D7" s="6"/>
      <c r="E7" t="s">
        <v>35</v>
      </c>
      <c r="F7" t="s">
        <v>37</v>
      </c>
      <c r="G7" t="s">
        <v>36</v>
      </c>
    </row>
    <row r="8" spans="4:7" x14ac:dyDescent="0.4">
      <c r="D8" s="5">
        <v>137.566</v>
      </c>
      <c r="E8">
        <f>ROUND(D8, 1)</f>
        <v>137.6</v>
      </c>
      <c r="F8">
        <f>ROUNDUP(D8, 1)</f>
        <v>137.6</v>
      </c>
      <c r="G8">
        <f>ROUNDDOWN(D8, 1)</f>
        <v>137.5</v>
      </c>
    </row>
    <row r="20" spans="4:4" x14ac:dyDescent="0.4">
      <c r="D20" s="5"/>
    </row>
    <row r="21" spans="4:4" x14ac:dyDescent="0.4">
      <c r="D21" s="5"/>
    </row>
    <row r="22" spans="4:4" x14ac:dyDescent="0.4">
      <c r="D22" s="5"/>
    </row>
    <row r="23" spans="4:4" x14ac:dyDescent="0.4">
      <c r="D23" s="5"/>
    </row>
  </sheetData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80F7E9-18FC-4091-99DD-A6D645253EC9}">
  <sheetPr codeName="Planilha5"/>
  <dimension ref="C9:G20"/>
  <sheetViews>
    <sheetView workbookViewId="0">
      <selection activeCell="K17" sqref="K17"/>
    </sheetView>
  </sheetViews>
  <sheetFormatPr defaultRowHeight="14.6" x14ac:dyDescent="0.4"/>
  <cols>
    <col min="3" max="3" width="10.61328125" bestFit="1" customWidth="1"/>
  </cols>
  <sheetData>
    <row r="9" spans="3:7" ht="18.45" x14ac:dyDescent="0.4">
      <c r="C9" s="7" t="s">
        <v>38</v>
      </c>
      <c r="D9" t="s">
        <v>39</v>
      </c>
      <c r="E9" t="s">
        <v>40</v>
      </c>
      <c r="F9" t="s">
        <v>41</v>
      </c>
      <c r="G9" t="s">
        <v>42</v>
      </c>
    </row>
    <row r="10" spans="3:7" ht="15.9" x14ac:dyDescent="0.4">
      <c r="C10" s="8">
        <v>66.569999999999993</v>
      </c>
      <c r="D10">
        <f>TRUNC(C10, 0)</f>
        <v>66</v>
      </c>
      <c r="E10">
        <f>INT(C10)</f>
        <v>66</v>
      </c>
      <c r="F10">
        <f>EVEN(C10)</f>
        <v>68</v>
      </c>
      <c r="G10">
        <f>ODD(C10)</f>
        <v>67</v>
      </c>
    </row>
    <row r="11" spans="3:7" ht="15.9" x14ac:dyDescent="0.4">
      <c r="C11" s="8">
        <v>99.12</v>
      </c>
      <c r="D11">
        <f t="shared" ref="D11:D20" si="0">TRUNC(C11, 0)</f>
        <v>99</v>
      </c>
      <c r="E11">
        <f t="shared" ref="E11:E20" si="1">INT(C11)</f>
        <v>99</v>
      </c>
      <c r="F11">
        <f t="shared" ref="F11:F20" si="2">EVEN(C11)</f>
        <v>100</v>
      </c>
      <c r="G11">
        <f t="shared" ref="G11:G20" si="3">ODD(C11)</f>
        <v>101</v>
      </c>
    </row>
    <row r="12" spans="3:7" ht="15.9" x14ac:dyDescent="0.4">
      <c r="C12" s="8">
        <v>-32.130000000000003</v>
      </c>
      <c r="D12">
        <f t="shared" si="0"/>
        <v>-32</v>
      </c>
      <c r="E12">
        <f t="shared" si="1"/>
        <v>-33</v>
      </c>
      <c r="F12">
        <f t="shared" si="2"/>
        <v>-34</v>
      </c>
      <c r="G12">
        <f t="shared" si="3"/>
        <v>-33</v>
      </c>
    </row>
    <row r="13" spans="3:7" ht="15.9" x14ac:dyDescent="0.4">
      <c r="C13" s="8">
        <v>55.47</v>
      </c>
      <c r="D13">
        <f t="shared" si="0"/>
        <v>55</v>
      </c>
      <c r="E13">
        <f t="shared" si="1"/>
        <v>55</v>
      </c>
      <c r="F13">
        <f t="shared" si="2"/>
        <v>56</v>
      </c>
      <c r="G13">
        <f t="shared" si="3"/>
        <v>57</v>
      </c>
    </row>
    <row r="14" spans="3:7" ht="15.9" x14ac:dyDescent="0.4">
      <c r="C14" s="8">
        <v>55.55</v>
      </c>
      <c r="D14">
        <f t="shared" si="0"/>
        <v>55</v>
      </c>
      <c r="E14">
        <f t="shared" si="1"/>
        <v>55</v>
      </c>
      <c r="F14">
        <f t="shared" si="2"/>
        <v>56</v>
      </c>
      <c r="G14">
        <f t="shared" si="3"/>
        <v>57</v>
      </c>
    </row>
    <row r="15" spans="3:7" ht="15.9" x14ac:dyDescent="0.4">
      <c r="C15" s="8">
        <v>61.89</v>
      </c>
      <c r="D15">
        <f t="shared" si="0"/>
        <v>61</v>
      </c>
      <c r="E15">
        <f t="shared" si="1"/>
        <v>61</v>
      </c>
      <c r="F15">
        <f t="shared" si="2"/>
        <v>62</v>
      </c>
      <c r="G15">
        <f t="shared" si="3"/>
        <v>63</v>
      </c>
    </row>
    <row r="16" spans="3:7" ht="15.9" x14ac:dyDescent="0.4">
      <c r="C16" s="8">
        <v>21.61</v>
      </c>
      <c r="D16">
        <f t="shared" si="0"/>
        <v>21</v>
      </c>
      <c r="E16">
        <f t="shared" si="1"/>
        <v>21</v>
      </c>
      <c r="F16">
        <f t="shared" si="2"/>
        <v>22</v>
      </c>
      <c r="G16">
        <f t="shared" si="3"/>
        <v>23</v>
      </c>
    </row>
    <row r="17" spans="3:7" ht="15.9" x14ac:dyDescent="0.4">
      <c r="C17" s="8">
        <v>11.15</v>
      </c>
      <c r="D17">
        <f t="shared" si="0"/>
        <v>11</v>
      </c>
      <c r="E17">
        <f t="shared" si="1"/>
        <v>11</v>
      </c>
      <c r="F17">
        <f t="shared" si="2"/>
        <v>12</v>
      </c>
      <c r="G17">
        <f t="shared" si="3"/>
        <v>13</v>
      </c>
    </row>
    <row r="18" spans="3:7" ht="15.9" x14ac:dyDescent="0.4">
      <c r="C18" s="8">
        <v>15.71</v>
      </c>
      <c r="D18">
        <f t="shared" si="0"/>
        <v>15</v>
      </c>
      <c r="E18">
        <f t="shared" si="1"/>
        <v>15</v>
      </c>
      <c r="F18">
        <f t="shared" si="2"/>
        <v>16</v>
      </c>
      <c r="G18">
        <f t="shared" si="3"/>
        <v>17</v>
      </c>
    </row>
    <row r="19" spans="3:7" ht="15.9" x14ac:dyDescent="0.4">
      <c r="C19" s="8">
        <v>-9.75</v>
      </c>
      <c r="D19">
        <f t="shared" si="0"/>
        <v>-9</v>
      </c>
      <c r="E19">
        <f t="shared" si="1"/>
        <v>-10</v>
      </c>
      <c r="F19">
        <f t="shared" si="2"/>
        <v>-10</v>
      </c>
      <c r="G19">
        <f t="shared" si="3"/>
        <v>-11</v>
      </c>
    </row>
    <row r="20" spans="3:7" ht="15.9" x14ac:dyDescent="0.4">
      <c r="C20" s="8">
        <v>-20.23</v>
      </c>
      <c r="D20">
        <f t="shared" si="0"/>
        <v>-20</v>
      </c>
      <c r="E20">
        <f t="shared" si="1"/>
        <v>-21</v>
      </c>
      <c r="F20">
        <f t="shared" si="2"/>
        <v>-22</v>
      </c>
      <c r="G20">
        <f t="shared" si="3"/>
        <v>-21</v>
      </c>
    </row>
  </sheetData>
  <pageMargins left="0.511811024" right="0.511811024" top="0.78740157499999996" bottom="0.78740157499999996" header="0.31496062000000002" footer="0.31496062000000002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D64BD8-D21A-4A84-831B-0D00ECA00F48}">
  <sheetPr codeName="Planilha6"/>
  <dimension ref="E10:L11"/>
  <sheetViews>
    <sheetView topLeftCell="A4" workbookViewId="0">
      <selection activeCell="E14" sqref="E14"/>
    </sheetView>
  </sheetViews>
  <sheetFormatPr defaultRowHeight="14.6" x14ac:dyDescent="0.4"/>
  <cols>
    <col min="5" max="5" width="10.07421875" bestFit="1" customWidth="1"/>
    <col min="6" max="6" width="3.61328125" bestFit="1" customWidth="1"/>
    <col min="7" max="7" width="4.3828125" bestFit="1" customWidth="1"/>
    <col min="8" max="8" width="16.23046875" bestFit="1" customWidth="1"/>
    <col min="9" max="9" width="4.84375" bestFit="1" customWidth="1"/>
    <col min="10" max="10" width="15.61328125" bestFit="1" customWidth="1"/>
    <col min="11" max="11" width="20.53515625" bestFit="1" customWidth="1"/>
    <col min="12" max="12" width="13.765625" bestFit="1" customWidth="1"/>
  </cols>
  <sheetData>
    <row r="10" spans="5:12" x14ac:dyDescent="0.4">
      <c r="F10" t="s">
        <v>43</v>
      </c>
      <c r="G10" t="s">
        <v>44</v>
      </c>
      <c r="H10" t="s">
        <v>45</v>
      </c>
      <c r="I10" t="s">
        <v>46</v>
      </c>
      <c r="J10" t="s">
        <v>47</v>
      </c>
      <c r="K10" t="s">
        <v>48</v>
      </c>
      <c r="L10" t="s">
        <v>49</v>
      </c>
    </row>
    <row r="11" spans="5:12" x14ac:dyDescent="0.4">
      <c r="E11" s="9">
        <f ca="1">TODAY()</f>
        <v>45623</v>
      </c>
      <c r="F11">
        <f ca="1">DAY(E11)</f>
        <v>27</v>
      </c>
      <c r="G11">
        <f ca="1">MONTH(E11)</f>
        <v>11</v>
      </c>
      <c r="H11" t="str">
        <f ca="1">TEXT(E11,"mmmm")</f>
        <v>novembro</v>
      </c>
      <c r="I11">
        <f ca="1">YEAR(E11)</f>
        <v>2024</v>
      </c>
      <c r="J11" t="str">
        <f ca="1">TEXT(E11,"dd/mm/aaaa")</f>
        <v>27/11/2024</v>
      </c>
      <c r="K11" t="str">
        <f ca="1">TEXT(E11, "dd ""de"" mmmm ""de"" aaaa")</f>
        <v>27 de novembro de 2024</v>
      </c>
      <c r="L11" t="str">
        <f ca="1">TEXT(E11,"dddd")</f>
        <v>quarta-feira</v>
      </c>
    </row>
  </sheetData>
  <pageMargins left="0.511811024" right="0.511811024" top="0.78740157499999996" bottom="0.78740157499999996" header="0.31496062000000002" footer="0.3149606200000000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888545-A3A7-453F-9BD2-941EF35E6952}">
  <sheetPr codeName="Planilha7"/>
  <dimension ref="A8:G9"/>
  <sheetViews>
    <sheetView workbookViewId="0">
      <selection activeCell="B19" sqref="B19"/>
    </sheetView>
  </sheetViews>
  <sheetFormatPr defaultRowHeight="14.6" x14ac:dyDescent="0.4"/>
  <cols>
    <col min="1" max="1" width="19.07421875" bestFit="1" customWidth="1"/>
    <col min="2" max="2" width="21.3046875" bestFit="1" customWidth="1"/>
    <col min="3" max="3" width="18" bestFit="1" customWidth="1"/>
    <col min="4" max="4" width="18.765625" bestFit="1" customWidth="1"/>
    <col min="5" max="5" width="10.61328125" bestFit="1" customWidth="1"/>
    <col min="6" max="6" width="12.3828125" bestFit="1" customWidth="1"/>
    <col min="7" max="7" width="55.921875" bestFit="1" customWidth="1"/>
    <col min="8" max="8" width="26.23046875" bestFit="1" customWidth="1"/>
    <col min="9" max="9" width="4.53515625" bestFit="1" customWidth="1"/>
  </cols>
  <sheetData>
    <row r="8" spans="1:7" x14ac:dyDescent="0.4">
      <c r="B8" t="s">
        <v>50</v>
      </c>
      <c r="C8" t="s">
        <v>51</v>
      </c>
      <c r="D8" t="s">
        <v>52</v>
      </c>
      <c r="E8" t="s">
        <v>53</v>
      </c>
      <c r="F8" t="s">
        <v>54</v>
      </c>
      <c r="G8" t="s">
        <v>55</v>
      </c>
    </row>
    <row r="9" spans="1:7" x14ac:dyDescent="0.4">
      <c r="A9" t="s">
        <v>56</v>
      </c>
      <c r="B9" t="str">
        <f>UPPER(A9)</f>
        <v xml:space="preserve">         RODRIGO COSTA        </v>
      </c>
      <c r="C9" t="str">
        <f>LOWER(A9)</f>
        <v xml:space="preserve">         rodrigo costa        </v>
      </c>
      <c r="D9" t="str">
        <f>PROPER(A9)</f>
        <v xml:space="preserve">         Rodrigo Costa        </v>
      </c>
      <c r="E9">
        <f>LEN(A9)</f>
        <v>30</v>
      </c>
      <c r="F9" t="str">
        <f>TRIM(A9)</f>
        <v>rodrigo COSTA</v>
      </c>
      <c r="G9" t="str">
        <f>REPT(A9, 3)</f>
        <v xml:space="preserve">         rodrigo COSTA                 rodrigo COSTA                 rodrigo COSTA        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903E2A-A627-42DF-9806-FFCAD6ADB47B}">
  <sheetPr codeName="Planilha8"/>
  <dimension ref="B3:L15"/>
  <sheetViews>
    <sheetView tabSelected="1" workbookViewId="0">
      <selection activeCell="N7" sqref="N7"/>
    </sheetView>
  </sheetViews>
  <sheetFormatPr defaultColWidth="8" defaultRowHeight="14.6" x14ac:dyDescent="0.4"/>
  <cols>
    <col min="2" max="2" width="17.69140625" bestFit="1" customWidth="1"/>
    <col min="3" max="3" width="15.921875" bestFit="1" customWidth="1"/>
    <col min="4" max="4" width="24.4609375" style="5" bestFit="1" customWidth="1"/>
    <col min="5" max="5" width="8.23046875" bestFit="1" customWidth="1"/>
    <col min="6" max="6" width="15" bestFit="1" customWidth="1"/>
    <col min="8" max="8" width="17.69140625" bestFit="1" customWidth="1"/>
    <col min="9" max="9" width="12.69140625" bestFit="1" customWidth="1"/>
    <col min="10" max="10" width="20.53515625" bestFit="1" customWidth="1"/>
    <col min="11" max="11" width="8.23046875" style="5" bestFit="1" customWidth="1"/>
    <col min="12" max="12" width="11.07421875" style="20" bestFit="1" customWidth="1"/>
    <col min="13" max="13" width="9.53515625" bestFit="1" customWidth="1"/>
  </cols>
  <sheetData>
    <row r="3" spans="2:12" ht="18.45" x14ac:dyDescent="0.5">
      <c r="B3" s="10" t="s">
        <v>81</v>
      </c>
      <c r="C3" s="10" t="s">
        <v>57</v>
      </c>
      <c r="D3" s="10" t="s">
        <v>28</v>
      </c>
      <c r="E3" s="14" t="s">
        <v>58</v>
      </c>
      <c r="F3" s="11" t="s">
        <v>59</v>
      </c>
      <c r="H3" s="10" t="s">
        <v>81</v>
      </c>
      <c r="I3" s="10" t="s">
        <v>57</v>
      </c>
      <c r="J3" s="10" t="s">
        <v>28</v>
      </c>
      <c r="K3" s="14" t="s">
        <v>58</v>
      </c>
      <c r="L3" s="18" t="s">
        <v>59</v>
      </c>
    </row>
    <row r="4" spans="2:12" ht="18.45" x14ac:dyDescent="0.5">
      <c r="B4" s="12" t="s">
        <v>82</v>
      </c>
      <c r="C4" s="12" t="s">
        <v>60</v>
      </c>
      <c r="D4" s="12" t="s">
        <v>61</v>
      </c>
      <c r="E4" s="15">
        <v>29</v>
      </c>
      <c r="F4" s="13">
        <v>2000</v>
      </c>
      <c r="H4" s="12" t="s">
        <v>82</v>
      </c>
      <c r="I4" s="16" t="str">
        <f>VLOOKUP(H4,$B$3:$F$15,2,FALSE)</f>
        <v>São Paulo</v>
      </c>
      <c r="J4" s="16" t="str">
        <f>VLOOKUP(H4,$B$3:$F$15,3,FALSE)</f>
        <v>Bruna Alves</v>
      </c>
      <c r="K4" s="17">
        <f>VLOOKUP(H4,$B$3:$F$15,4,FALSE)</f>
        <v>29</v>
      </c>
      <c r="L4" s="19">
        <f>VLOOKUP(H4,$B$3:$F$15,5,FALSE)</f>
        <v>2000</v>
      </c>
    </row>
    <row r="5" spans="2:12" ht="18.45" x14ac:dyDescent="0.5">
      <c r="B5" s="12" t="s">
        <v>86</v>
      </c>
      <c r="C5" s="12" t="s">
        <v>62</v>
      </c>
      <c r="D5" s="12" t="s">
        <v>63</v>
      </c>
      <c r="E5" s="15">
        <v>49</v>
      </c>
      <c r="F5" s="13">
        <v>2500</v>
      </c>
      <c r="H5" s="12" t="s">
        <v>83</v>
      </c>
      <c r="I5" s="16" t="str">
        <f t="shared" ref="I5:I7" si="0">VLOOKUP(H5,$B$3:$F$15,2,FALSE)</f>
        <v>Salvador</v>
      </c>
      <c r="J5" s="16" t="str">
        <f t="shared" ref="J5:J7" si="1">VLOOKUP(H5,$B$3:$F$15,3,FALSE)</f>
        <v>Henrique Oliveira Silva</v>
      </c>
      <c r="K5" s="17">
        <f t="shared" ref="K5:K7" si="2">VLOOKUP(H5,$B$3:$F$15,4,FALSE)</f>
        <v>25</v>
      </c>
      <c r="L5" s="19">
        <f t="shared" ref="L5:L7" si="3">VLOOKUP(H5,$B$3:$F$15,5,FALSE)</f>
        <v>3000</v>
      </c>
    </row>
    <row r="6" spans="2:12" ht="18.45" x14ac:dyDescent="0.5">
      <c r="B6" s="12" t="s">
        <v>87</v>
      </c>
      <c r="C6" s="12" t="s">
        <v>64</v>
      </c>
      <c r="D6" s="12" t="s">
        <v>65</v>
      </c>
      <c r="E6" s="15">
        <v>18</v>
      </c>
      <c r="F6" s="13">
        <v>3000</v>
      </c>
      <c r="H6" s="12" t="s">
        <v>84</v>
      </c>
      <c r="I6" s="16" t="str">
        <f t="shared" si="0"/>
        <v>Recife</v>
      </c>
      <c r="J6" s="16" t="str">
        <f t="shared" si="1"/>
        <v>Robson Martins</v>
      </c>
      <c r="K6" s="17">
        <f t="shared" si="2"/>
        <v>45</v>
      </c>
      <c r="L6" s="19">
        <f t="shared" si="3"/>
        <v>2000</v>
      </c>
    </row>
    <row r="7" spans="2:12" ht="18.45" x14ac:dyDescent="0.5">
      <c r="B7" s="12" t="s">
        <v>83</v>
      </c>
      <c r="C7" s="12" t="s">
        <v>66</v>
      </c>
      <c r="D7" s="12" t="s">
        <v>67</v>
      </c>
      <c r="E7" s="15">
        <v>25</v>
      </c>
      <c r="F7" s="13">
        <v>3000</v>
      </c>
      <c r="H7" s="12" t="s">
        <v>85</v>
      </c>
      <c r="I7" s="16" t="str">
        <f t="shared" si="0"/>
        <v>Rio de Janeiro</v>
      </c>
      <c r="J7" s="16" t="str">
        <f t="shared" si="1"/>
        <v>Erika Souza Aguiar</v>
      </c>
      <c r="K7" s="17">
        <f t="shared" si="2"/>
        <v>20</v>
      </c>
      <c r="L7" s="19">
        <f t="shared" si="3"/>
        <v>5000</v>
      </c>
    </row>
    <row r="8" spans="2:12" ht="18.45" x14ac:dyDescent="0.5">
      <c r="B8" s="12" t="s">
        <v>88</v>
      </c>
      <c r="C8" s="12" t="s">
        <v>68</v>
      </c>
      <c r="D8" s="12" t="s">
        <v>69</v>
      </c>
      <c r="E8" s="15">
        <v>34</v>
      </c>
      <c r="F8" s="13">
        <v>2000</v>
      </c>
    </row>
    <row r="9" spans="2:12" ht="18.45" x14ac:dyDescent="0.5">
      <c r="B9" s="12" t="s">
        <v>89</v>
      </c>
      <c r="C9" s="12" t="s">
        <v>70</v>
      </c>
      <c r="D9" s="12" t="s">
        <v>71</v>
      </c>
      <c r="E9" s="15">
        <v>22</v>
      </c>
      <c r="F9" s="13">
        <v>2000</v>
      </c>
    </row>
    <row r="10" spans="2:12" ht="18.45" x14ac:dyDescent="0.5">
      <c r="B10" s="12" t="s">
        <v>84</v>
      </c>
      <c r="C10" s="12" t="s">
        <v>72</v>
      </c>
      <c r="D10" s="12" t="s">
        <v>73</v>
      </c>
      <c r="E10" s="15">
        <v>45</v>
      </c>
      <c r="F10" s="13">
        <v>2000</v>
      </c>
    </row>
    <row r="11" spans="2:12" ht="18.45" x14ac:dyDescent="0.5">
      <c r="B11" s="12" t="s">
        <v>90</v>
      </c>
      <c r="C11" s="12" t="s">
        <v>74</v>
      </c>
      <c r="D11" s="12" t="s">
        <v>75</v>
      </c>
      <c r="E11" s="15">
        <v>33</v>
      </c>
      <c r="F11" s="13">
        <v>5000</v>
      </c>
    </row>
    <row r="12" spans="2:12" ht="18.45" x14ac:dyDescent="0.5">
      <c r="B12" s="12" t="s">
        <v>85</v>
      </c>
      <c r="C12" s="12" t="s">
        <v>62</v>
      </c>
      <c r="D12" s="12" t="s">
        <v>76</v>
      </c>
      <c r="E12" s="15">
        <v>20</v>
      </c>
      <c r="F12" s="13">
        <v>5000</v>
      </c>
    </row>
    <row r="13" spans="2:12" ht="18.45" x14ac:dyDescent="0.5">
      <c r="B13" s="12" t="s">
        <v>91</v>
      </c>
      <c r="C13" s="12" t="s">
        <v>62</v>
      </c>
      <c r="D13" s="12" t="s">
        <v>77</v>
      </c>
      <c r="E13" s="15">
        <v>19</v>
      </c>
      <c r="F13" s="13">
        <v>5000</v>
      </c>
    </row>
    <row r="14" spans="2:12" ht="18.45" x14ac:dyDescent="0.5">
      <c r="B14" s="12" t="s">
        <v>92</v>
      </c>
      <c r="C14" s="12" t="s">
        <v>78</v>
      </c>
      <c r="D14" s="12" t="s">
        <v>79</v>
      </c>
      <c r="E14" s="15">
        <v>29</v>
      </c>
      <c r="F14" s="13">
        <v>4000</v>
      </c>
    </row>
    <row r="15" spans="2:12" ht="18.45" x14ac:dyDescent="0.5">
      <c r="B15" s="12" t="s">
        <v>93</v>
      </c>
      <c r="C15" s="12" t="s">
        <v>64</v>
      </c>
      <c r="D15" s="12" t="s">
        <v>80</v>
      </c>
      <c r="E15" s="15">
        <v>34</v>
      </c>
      <c r="F15" s="13">
        <v>4000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8</vt:i4>
      </vt:variant>
    </vt:vector>
  </HeadingPairs>
  <TitlesOfParts>
    <vt:vector size="8" baseType="lpstr">
      <vt:lpstr>Concatenar</vt:lpstr>
      <vt:lpstr>Soma, Máximo e Mínimo</vt:lpstr>
      <vt:lpstr>Fórmula Duplicado</vt:lpstr>
      <vt:lpstr>Arredondar</vt:lpstr>
      <vt:lpstr>Truncar, Int, Par e Ímpar</vt:lpstr>
      <vt:lpstr>Data</vt:lpstr>
      <vt:lpstr>Texto</vt:lpstr>
      <vt:lpstr>Procv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Office</dc:creator>
  <cp:lastModifiedBy>Office</cp:lastModifiedBy>
  <dcterms:created xsi:type="dcterms:W3CDTF">2024-11-21T22:42:09Z</dcterms:created>
  <dcterms:modified xsi:type="dcterms:W3CDTF">2024-11-28T02:37:31Z</dcterms:modified>
</cp:coreProperties>
</file>