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095A82BF-E61F-4D42-AED6-B2C30E5F40EA}" xr6:coauthVersionLast="47" xr6:coauthVersionMax="47" xr10:uidLastSave="{00000000-0000-0000-0000-000000000000}"/>
  <bookViews>
    <workbookView xWindow="-86" yWindow="0" windowWidth="16629" windowHeight="17880" firstSheet="9" activeTab="12" xr2:uid="{C968E1EB-4E9C-4BF9-9F2F-C76CE39370F7}"/>
  </bookViews>
  <sheets>
    <sheet name="Concatenar" sheetId="1" r:id="rId1"/>
    <sheet name="Soma, Máximo e Mínimo" sheetId="2" r:id="rId2"/>
    <sheet name="Fórmula Duplicado" sheetId="3" r:id="rId3"/>
    <sheet name="Arredondar" sheetId="4" r:id="rId4"/>
    <sheet name="Truncar, Int, Par e Ímpar" sheetId="5" r:id="rId5"/>
    <sheet name="Data" sheetId="6" r:id="rId6"/>
    <sheet name="Texto" sheetId="7" r:id="rId7"/>
    <sheet name="Procv" sheetId="8" r:id="rId8"/>
    <sheet name="Índice Corresp" sheetId="9" r:id="rId9"/>
    <sheet name="Índice Corresp 2" sheetId="10" r:id="rId10"/>
    <sheet name="SOMASES" sheetId="11" r:id="rId11"/>
    <sheet name="CONT.SES" sheetId="12" r:id="rId12"/>
    <sheet name="FILTRO" sheetId="13" r:id="rId13"/>
  </sheets>
  <definedNames>
    <definedName name="_xleta.LEN" hidden="1" xlm="1">#NAME?</definedName>
    <definedName name="_xleta.LOWER" hidden="1" xlm="1">#NAME?</definedName>
    <definedName name="_xleta.PROP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8" i="13" l="1" a="1"/>
  <c r="V18" i="13" s="1"/>
  <c r="I3" i="13" a="1"/>
  <c r="I3" i="13" s="1"/>
  <c r="I3" i="12" l="1"/>
  <c r="G29" i="11" l="1"/>
  <c r="F21" i="11"/>
  <c r="D12" i="10"/>
  <c r="K39" i="9" l="1" a="1"/>
  <c r="K39" i="9" s="1"/>
  <c r="E5" i="9" a="1"/>
  <c r="E5" i="9" s="1"/>
  <c r="E6" i="9" a="1"/>
  <c r="E6" i="9" s="1"/>
  <c r="E7" i="9" a="1"/>
  <c r="E7" i="9" s="1"/>
  <c r="E4" i="9" a="1"/>
  <c r="E4" i="9" s="1"/>
  <c r="H24" i="9" a="1"/>
  <c r="H24" i="9" s="1"/>
  <c r="H25" i="9" a="1"/>
  <c r="H25" i="9" s="1"/>
  <c r="H23" i="9" a="1"/>
  <c r="H23" i="9" s="1"/>
  <c r="K38" i="9" l="1" a="1"/>
  <c r="K38" i="9" s="1"/>
  <c r="C5" i="9"/>
  <c r="C6" i="9"/>
  <c r="C7" i="9"/>
  <c r="C4" i="9"/>
  <c r="L7" i="8" l="1"/>
  <c r="L6" i="8"/>
  <c r="L5" i="8"/>
  <c r="L4" i="8"/>
  <c r="K7" i="8"/>
  <c r="K6" i="8"/>
  <c r="K5" i="8"/>
  <c r="K4" i="8"/>
  <c r="J7" i="8"/>
  <c r="J6" i="8"/>
  <c r="J5" i="8"/>
  <c r="J4" i="8"/>
  <c r="I7" i="8"/>
  <c r="I6" i="8"/>
  <c r="I5" i="8"/>
  <c r="I4" i="8"/>
  <c r="G9" i="7" l="1"/>
  <c r="F9" i="7"/>
  <c r="E9" i="7"/>
  <c r="D9" i="7"/>
  <c r="C9" i="7"/>
  <c r="B9" i="7"/>
  <c r="E11" i="6"/>
  <c r="L11" i="6" s="1"/>
  <c r="D11" i="5"/>
  <c r="E11" i="5"/>
  <c r="F11" i="5"/>
  <c r="G11" i="5"/>
  <c r="D12" i="5"/>
  <c r="E12" i="5"/>
  <c r="F12" i="5"/>
  <c r="G12" i="5"/>
  <c r="D13" i="5"/>
  <c r="E13" i="5"/>
  <c r="F13" i="5"/>
  <c r="G13" i="5"/>
  <c r="D14" i="5"/>
  <c r="E14" i="5"/>
  <c r="F14" i="5"/>
  <c r="G14" i="5"/>
  <c r="D15" i="5"/>
  <c r="E15" i="5"/>
  <c r="F15" i="5"/>
  <c r="G15" i="5"/>
  <c r="D16" i="5"/>
  <c r="E16" i="5"/>
  <c r="F16" i="5"/>
  <c r="G16" i="5"/>
  <c r="D17" i="5"/>
  <c r="E17" i="5"/>
  <c r="F17" i="5"/>
  <c r="G17" i="5"/>
  <c r="D18" i="5"/>
  <c r="E18" i="5"/>
  <c r="F18" i="5"/>
  <c r="G18" i="5"/>
  <c r="D19" i="5"/>
  <c r="E19" i="5"/>
  <c r="F19" i="5"/>
  <c r="G19" i="5"/>
  <c r="D20" i="5"/>
  <c r="E20" i="5"/>
  <c r="F20" i="5"/>
  <c r="G20" i="5"/>
  <c r="G10" i="5"/>
  <c r="F10" i="5"/>
  <c r="E10" i="5"/>
  <c r="D10" i="5"/>
  <c r="G8" i="4"/>
  <c r="F8" i="4"/>
  <c r="E8" i="4"/>
  <c r="J11" i="6" l="1"/>
  <c r="K11" i="6"/>
  <c r="H11" i="6"/>
  <c r="I11" i="6"/>
  <c r="F11" i="6"/>
  <c r="G11" i="6"/>
  <c r="G25" i="3"/>
  <c r="G26" i="3"/>
  <c r="G27" i="3"/>
  <c r="G28" i="3"/>
  <c r="G29" i="3"/>
  <c r="G30" i="3"/>
  <c r="G31" i="3"/>
  <c r="G32" i="3"/>
  <c r="G33" i="3"/>
  <c r="G34" i="3"/>
  <c r="G24" i="3"/>
  <c r="L3" i="3"/>
  <c r="L4" i="3"/>
  <c r="L5" i="3"/>
  <c r="L6" i="3"/>
  <c r="L7" i="3"/>
  <c r="L8" i="3"/>
  <c r="L9" i="3"/>
  <c r="L10" i="3"/>
  <c r="L11" i="3"/>
  <c r="L12" i="3"/>
  <c r="L2" i="3"/>
  <c r="G2" i="3"/>
  <c r="G3" i="3"/>
  <c r="G4" i="3"/>
  <c r="G5" i="3"/>
  <c r="G6" i="3"/>
  <c r="G7" i="3"/>
  <c r="G8" i="3"/>
  <c r="G9" i="3"/>
  <c r="G10" i="3"/>
  <c r="G11" i="3"/>
  <c r="G12" i="3"/>
  <c r="B2" i="3"/>
  <c r="B3" i="3"/>
  <c r="B4" i="3"/>
  <c r="B5" i="3"/>
  <c r="B6" i="3"/>
  <c r="B7" i="3"/>
  <c r="B8" i="3"/>
  <c r="B9" i="3"/>
  <c r="B10" i="3"/>
  <c r="B11" i="3"/>
  <c r="B12" i="3"/>
  <c r="H18" i="2" l="1"/>
  <c r="G18" i="2"/>
  <c r="F18" i="2"/>
  <c r="M7" i="2"/>
  <c r="L7" i="2"/>
  <c r="K7" i="2"/>
  <c r="E2" i="2"/>
  <c r="D2" i="2"/>
  <c r="C2" i="2"/>
  <c r="F23" i="1"/>
  <c r="B15" i="1"/>
  <c r="F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tc={4BDEED2C-882F-41A8-B5A3-758F150BEF86}</author>
    <author>tc={FB675ACF-5DFE-4826-A45C-22954EDFD410}</author>
    <author>tc={56F94F49-04FB-4295-9386-02B9C005ED01}</author>
    <author>tc={C3341619-2DCE-4635-A966-CECDF007B540}</author>
  </authors>
  <commentList>
    <comment ref="D9" authorId="0" shapeId="0" xr:uid="{4BDEED2C-882F-41A8-B5A3-758F150BEF8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trunca um número para um inteiro, removendo a parte fracionária </t>
      </text>
    </comment>
    <comment ref="E9" authorId="1" shapeId="0" xr:uid="{FB675ACF-5DFE-4826-A45C-22954EDFD41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baixo até o número inteiro mais próximo </t>
      </text>
    </comment>
    <comment ref="F9" authorId="2" shapeId="0" xr:uid="{56F94F49-04FB-4295-9386-02B9C005ED01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Retorna o núm arredondado para o inteiro par mais próximo. </t>
      </text>
    </comment>
    <comment ref="G9" authorId="3" shapeId="0" xr:uid="{C3341619-2DCE-4635-A966-CECDF007B54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cima até o número inteiro ímpar mais próximo 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<sst xmlns="http://schemas.openxmlformats.org/spreadsheetml/2006/main" count="614" uniqueCount="220">
  <si>
    <t xml:space="preserve">Ana </t>
  </si>
  <si>
    <t>Pedro</t>
  </si>
  <si>
    <t>João</t>
  </si>
  <si>
    <t>Roger</t>
  </si>
  <si>
    <t>Felipe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</si>
  <si>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</si>
  <si>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</si>
  <si>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</si>
  <si>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</si>
  <si>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</si>
  <si>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</si>
  <si>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</si>
  <si>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</si>
  <si>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</si>
  <si>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</si>
  <si>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Número 2</t>
  </si>
  <si>
    <t>Número 1</t>
  </si>
  <si>
    <t>Número 3</t>
  </si>
  <si>
    <t>Número 4</t>
  </si>
  <si>
    <t>Número 5</t>
  </si>
  <si>
    <t>Número 6</t>
  </si>
  <si>
    <t>Número 7</t>
  </si>
  <si>
    <t>Número 8</t>
  </si>
  <si>
    <t>Número 9</t>
  </si>
  <si>
    <t>Número 10</t>
  </si>
  <si>
    <t>SOMA</t>
  </si>
  <si>
    <t>MÁXIMO</t>
  </si>
  <si>
    <t>MÍNIMO</t>
  </si>
  <si>
    <t>Nome</t>
  </si>
  <si>
    <t>Ana Silva</t>
  </si>
  <si>
    <t>Eduarda Martins</t>
  </si>
  <si>
    <t>Gabriela Souza</t>
  </si>
  <si>
    <t>Hector Vargas</t>
  </si>
  <si>
    <t>Bruno Gomes</t>
  </si>
  <si>
    <t>Diego Lima</t>
  </si>
  <si>
    <t>ARRED</t>
  </si>
  <si>
    <t>ARREDONDAR.PARA.BAIXO</t>
  </si>
  <si>
    <t>ARREDONDAR.PARA.CIMA</t>
  </si>
  <si>
    <t>Números</t>
  </si>
  <si>
    <t>TRUNCAR</t>
  </si>
  <si>
    <t>INT</t>
  </si>
  <si>
    <t>PAR</t>
  </si>
  <si>
    <t>ÍMPAR</t>
  </si>
  <si>
    <t>DIA</t>
  </si>
  <si>
    <t>MÊS</t>
  </si>
  <si>
    <t>MÊS POR EXTENSO</t>
  </si>
  <si>
    <t>ANO</t>
  </si>
  <si>
    <t>DATA FORMATADA</t>
  </si>
  <si>
    <t>DATA POR EXTENSO</t>
  </si>
  <si>
    <t>DIA DA SEMANA</t>
  </si>
  <si>
    <t>Maiúscula</t>
  </si>
  <si>
    <t>Minúscula</t>
  </si>
  <si>
    <t>Pri.Maiúscula</t>
  </si>
  <si>
    <t>Núm.Caract</t>
  </si>
  <si>
    <t>Arrumar</t>
  </si>
  <si>
    <t>Rept</t>
  </si>
  <si>
    <t xml:space="preserve">         rodrigo COSTA        </t>
  </si>
  <si>
    <t>Cidade</t>
  </si>
  <si>
    <t>Idade</t>
  </si>
  <si>
    <t>Salário</t>
  </si>
  <si>
    <t>São Paulo</t>
  </si>
  <si>
    <t>Bruna Alves</t>
  </si>
  <si>
    <t>Rio de Janeiro</t>
  </si>
  <si>
    <t>Afonso Alves</t>
  </si>
  <si>
    <t>Belo Horizonte</t>
  </si>
  <si>
    <t>Caroline Gois Abreu</t>
  </si>
  <si>
    <t>Salvador</t>
  </si>
  <si>
    <t>Henrique Oliveira Silva</t>
  </si>
  <si>
    <t>Porto Alegre</t>
  </si>
  <si>
    <t>Kaliane Almeida Abreu</t>
  </si>
  <si>
    <t>Curitiba</t>
  </si>
  <si>
    <t>Ryan Merryman</t>
  </si>
  <si>
    <t>Recife</t>
  </si>
  <si>
    <t>Robson Martins</t>
  </si>
  <si>
    <t>Fortaleza</t>
  </si>
  <si>
    <t>Thiago Santana Gomes</t>
  </si>
  <si>
    <t>Erika Souza Aguiar</t>
  </si>
  <si>
    <t>Felipe Borges Aguiar</t>
  </si>
  <si>
    <t>Osasco</t>
  </si>
  <si>
    <t>Tiago de Oliveira</t>
  </si>
  <si>
    <t>Frederico Rubens</t>
  </si>
  <si>
    <t>CPF</t>
  </si>
  <si>
    <t>123.456.789-10</t>
  </si>
  <si>
    <t>123.456.789-13</t>
  </si>
  <si>
    <t>123.456.789-16</t>
  </si>
  <si>
    <t>123.456.789-18</t>
  </si>
  <si>
    <t>123.456.789-11</t>
  </si>
  <si>
    <t>123.456.789-12</t>
  </si>
  <si>
    <t>123.456.789-14</t>
  </si>
  <si>
    <t>123.456.789-15</t>
  </si>
  <si>
    <t>123.456.789-17</t>
  </si>
  <si>
    <t>123.456.789-19</t>
  </si>
  <si>
    <t>123.456.789-20</t>
  </si>
  <si>
    <t>123.456.789-21</t>
  </si>
  <si>
    <t>Sexo</t>
  </si>
  <si>
    <t>Produto</t>
  </si>
  <si>
    <t>Valor</t>
  </si>
  <si>
    <t>Cliente</t>
  </si>
  <si>
    <t>Calça Feminina Jogger</t>
  </si>
  <si>
    <t>Ana</t>
  </si>
  <si>
    <t>Feminino</t>
  </si>
  <si>
    <t>Tênis Feminino</t>
  </si>
  <si>
    <t>Vestido Infantil</t>
  </si>
  <si>
    <t>Sapato Social</t>
  </si>
  <si>
    <t>Masculino</t>
  </si>
  <si>
    <t>Iasmin</t>
  </si>
  <si>
    <t>Bermuda Masculino</t>
  </si>
  <si>
    <t>Camisa Masculina Festa Balada</t>
  </si>
  <si>
    <t>Bota Masculina</t>
  </si>
  <si>
    <t>Jaqueta Masculina Preta</t>
  </si>
  <si>
    <t>Bolsa de Trabalho</t>
  </si>
  <si>
    <t>Kit de Pinceis de Maquiagem</t>
  </si>
  <si>
    <t>Camisa Masculina</t>
  </si>
  <si>
    <t>Camisa Térmica</t>
  </si>
  <si>
    <t>Sapatilha Sapato</t>
  </si>
  <si>
    <t>Colar Pingente</t>
  </si>
  <si>
    <t>Profissão</t>
  </si>
  <si>
    <t>Estado</t>
  </si>
  <si>
    <t>Maria</t>
  </si>
  <si>
    <t>F</t>
  </si>
  <si>
    <t>Médica</t>
  </si>
  <si>
    <t>SP</t>
  </si>
  <si>
    <t>M</t>
  </si>
  <si>
    <t>Engenheiro</t>
  </si>
  <si>
    <t>Camila</t>
  </si>
  <si>
    <t>Contadora</t>
  </si>
  <si>
    <t>RJ</t>
  </si>
  <si>
    <t>Vitória</t>
  </si>
  <si>
    <t>Laura</t>
  </si>
  <si>
    <t>Arquiteta</t>
  </si>
  <si>
    <t>MG</t>
  </si>
  <si>
    <t>Médico</t>
  </si>
  <si>
    <t>RS</t>
  </si>
  <si>
    <t>Advogada</t>
  </si>
  <si>
    <t>Professor</t>
  </si>
  <si>
    <t>PE</t>
  </si>
  <si>
    <t>SC</t>
  </si>
  <si>
    <t>Florianópolis</t>
  </si>
  <si>
    <t>Bruno</t>
  </si>
  <si>
    <t>Empresário</t>
  </si>
  <si>
    <t>PR</t>
  </si>
  <si>
    <t>Juliana</t>
  </si>
  <si>
    <t>Engenheira</t>
  </si>
  <si>
    <t>CE</t>
  </si>
  <si>
    <t>Marcos</t>
  </si>
  <si>
    <t>Programador</t>
  </si>
  <si>
    <t>ES</t>
  </si>
  <si>
    <t>Nome do Produto</t>
  </si>
  <si>
    <t>Categoria</t>
  </si>
  <si>
    <t>Quantidade em Estoque</t>
  </si>
  <si>
    <t>Preço Unitário</t>
  </si>
  <si>
    <t>Fornecedor</t>
  </si>
  <si>
    <t>Fornecedor A</t>
  </si>
  <si>
    <t>Fornecedor B</t>
  </si>
  <si>
    <t>Fornecedor C</t>
  </si>
  <si>
    <t>Avaliação do Cliente</t>
  </si>
  <si>
    <t>ID do Produto</t>
  </si>
  <si>
    <t>Cafeteira Expresso</t>
  </si>
  <si>
    <t>Eletrodomésticos</t>
  </si>
  <si>
    <t>890.00</t>
  </si>
  <si>
    <t>CozinhaTech</t>
  </si>
  <si>
    <t>Teste A</t>
  </si>
  <si>
    <t>Centro A</t>
  </si>
  <si>
    <t>Rua A</t>
  </si>
  <si>
    <t>Notebook Gamer</t>
  </si>
  <si>
    <t>Eletrônicos</t>
  </si>
  <si>
    <t>4500.00</t>
  </si>
  <si>
    <t>TechParts</t>
  </si>
  <si>
    <t>4.5</t>
  </si>
  <si>
    <t>Fone de Ouvido Bluetooth</t>
  </si>
  <si>
    <t>Acessórios</t>
  </si>
  <si>
    <t>150.00</t>
  </si>
  <si>
    <t>SoundTech</t>
  </si>
  <si>
    <t>Smartphone XPro</t>
  </si>
  <si>
    <t>2300.00</t>
  </si>
  <si>
    <t>MobileWorld</t>
  </si>
  <si>
    <t>4.7</t>
  </si>
  <si>
    <t>4.3</t>
  </si>
  <si>
    <t>Teclado Mecânico</t>
  </si>
  <si>
    <t>350.00</t>
  </si>
  <si>
    <t>4.8</t>
  </si>
  <si>
    <t>4.6</t>
  </si>
  <si>
    <t>ÍNDICE CORRESP com 6 condições</t>
  </si>
  <si>
    <t>ÍNDICE CORRESP com 9 condições</t>
  </si>
  <si>
    <t>índice CORRESP com 3 condições</t>
  </si>
  <si>
    <t>Rose</t>
  </si>
  <si>
    <t>Marta</t>
  </si>
  <si>
    <t>suelen</t>
  </si>
  <si>
    <t>Fábio</t>
  </si>
  <si>
    <t>Datas</t>
  </si>
  <si>
    <t>Cargo</t>
  </si>
  <si>
    <t>Junior</t>
  </si>
  <si>
    <t>&lt;=23</t>
  </si>
  <si>
    <t>&lt;=2000</t>
  </si>
  <si>
    <t>Clevison Santos</t>
  </si>
  <si>
    <t>Estagiário</t>
  </si>
  <si>
    <t>Supervisor</t>
  </si>
  <si>
    <t>Pleno</t>
  </si>
  <si>
    <t>&lt;=5000</t>
  </si>
  <si>
    <t>Senior</t>
  </si>
  <si>
    <t>Data Admissão</t>
  </si>
  <si>
    <t>&gt;=26</t>
  </si>
  <si>
    <t>&lt;=30</t>
  </si>
  <si>
    <t>Qtd</t>
  </si>
  <si>
    <t>Acre</t>
  </si>
  <si>
    <t>Miguel</t>
  </si>
  <si>
    <t>Paraná</t>
  </si>
  <si>
    <t>Arthur</t>
  </si>
  <si>
    <t>Heitor</t>
  </si>
  <si>
    <t>Amazonas</t>
  </si>
  <si>
    <t>Helena</t>
  </si>
  <si>
    <t>Maranhão</t>
  </si>
  <si>
    <t>Alice</t>
  </si>
  <si>
    <t>Theo</t>
  </si>
  <si>
    <t>Davi</t>
  </si>
  <si>
    <t>Gabriel</t>
  </si>
  <si>
    <t>Gael</t>
  </si>
  <si>
    <t>Mato Grosso</t>
  </si>
  <si>
    <t>Bernardo</t>
  </si>
  <si>
    <t>4.9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</si>
</sst>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R$&quot;\ #,##0;[Red]\-&quot;R$&quot;\ #,##0"/>
    <numFmt numFmtId="44" formatCode="_-&quot;R$&quot;\ * #,##0.00_-;\-&quot;R$&quot;\ * #,##0.00_-;_-&quot;R$&quot;\ * &quot;-&quot;??_-;_-@_-"/>
    <numFmt numFmtId="164" formatCode="&quot;R$&quot;\ #,##0.00"/>
  </numFmts>
  <fonts count="1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  <font>
      <sz val="15"/>
      <color theme="0"/>
      <name val="Aptos Narrow"/>
      <family val="2"/>
      <scheme val="minor"/>
    </font>
    <font>
      <sz val="15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/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57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0" fillId="0" borderId="0" xfId="0" applyNumberFormat="1"/>
    <xf numFmtId="0" fontId="6" fillId="3" borderId="2" xfId="0" applyFont="1" applyFill="1" applyBorder="1"/>
    <xf numFmtId="44" fontId="6" fillId="3" borderId="2" xfId="1" applyFont="1" applyFill="1" applyBorder="1" applyAlignment="1">
      <alignment horizontal="right"/>
    </xf>
    <xf numFmtId="0" fontId="7" fillId="0" borderId="3" xfId="0" applyFont="1" applyBorder="1"/>
    <xf numFmtId="44" fontId="7" fillId="0" borderId="3" xfId="1" applyFont="1" applyBorder="1"/>
    <xf numFmtId="44" fontId="6" fillId="3" borderId="2" xfId="1" applyFont="1" applyFill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164" fontId="6" fillId="3" borderId="2" xfId="1" applyNumberFormat="1" applyFont="1" applyFill="1" applyBorder="1" applyAlignment="1">
      <alignment horizontal="right"/>
    </xf>
    <xf numFmtId="164" fontId="3" fillId="0" borderId="0" xfId="0" applyNumberFormat="1" applyFont="1"/>
    <xf numFmtId="164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0" borderId="1" xfId="0" quotePrefix="1" applyBorder="1" applyAlignment="1">
      <alignment horizontal="left" vertical="top"/>
    </xf>
    <xf numFmtId="6" fontId="0" fillId="0" borderId="1" xfId="0" quotePrefix="1" applyNumberFormat="1" applyBorder="1"/>
    <xf numFmtId="14" fontId="0" fillId="0" borderId="1" xfId="0" applyNumberFormat="1" applyBorder="1"/>
    <xf numFmtId="0" fontId="0" fillId="0" borderId="1" xfId="0" quotePrefix="1" applyBorder="1"/>
    <xf numFmtId="0" fontId="7" fillId="4" borderId="1" xfId="0" applyFont="1" applyFill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4" xfId="0" applyFont="1" applyBorder="1"/>
    <xf numFmtId="0" fontId="8" fillId="0" borderId="5" xfId="0" quotePrefix="1" applyFont="1" applyBorder="1"/>
    <xf numFmtId="0" fontId="8" fillId="0" borderId="1" xfId="0" applyFont="1" applyBorder="1" applyAlignment="1">
      <alignment horizontal="center"/>
    </xf>
    <xf numFmtId="0" fontId="8" fillId="0" borderId="1" xfId="0" quotePrefix="1" applyFont="1" applyBorder="1" applyAlignment="1">
      <alignment horizontal="center"/>
    </xf>
    <xf numFmtId="0" fontId="9" fillId="3" borderId="2" xfId="0" applyFont="1" applyFill="1" applyBorder="1"/>
    <xf numFmtId="0" fontId="9" fillId="3" borderId="2" xfId="0" applyFont="1" applyFill="1" applyBorder="1" applyAlignment="1">
      <alignment horizontal="center"/>
    </xf>
    <xf numFmtId="44" fontId="9" fillId="3" borderId="2" xfId="1" applyFont="1" applyFill="1" applyBorder="1" applyAlignment="1">
      <alignment horizontal="center"/>
    </xf>
    <xf numFmtId="0" fontId="8" fillId="0" borderId="0" xfId="0" applyFont="1"/>
    <xf numFmtId="0" fontId="8" fillId="0" borderId="1" xfId="0" applyFont="1" applyBorder="1"/>
    <xf numFmtId="44" fontId="8" fillId="0" borderId="1" xfId="1" applyFont="1" applyBorder="1" applyAlignment="1">
      <alignment horizontal="center"/>
    </xf>
    <xf numFmtId="0" fontId="8" fillId="0" borderId="0" xfId="0" quotePrefix="1" applyFont="1"/>
    <xf numFmtId="44" fontId="8" fillId="0" borderId="6" xfId="1" quotePrefix="1" applyFont="1" applyBorder="1"/>
    <xf numFmtId="0" fontId="10" fillId="3" borderId="2" xfId="0" applyFont="1" applyFill="1" applyBorder="1"/>
    <xf numFmtId="0" fontId="10" fillId="3" borderId="2" xfId="0" applyFont="1" applyFill="1" applyBorder="1" applyAlignment="1">
      <alignment horizontal="center"/>
    </xf>
    <xf numFmtId="0" fontId="11" fillId="0" borderId="0" xfId="0" applyFont="1"/>
    <xf numFmtId="0" fontId="11" fillId="0" borderId="1" xfId="0" applyFont="1" applyBorder="1"/>
    <xf numFmtId="14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8" fillId="2" borderId="7" xfId="0" applyFont="1" applyFill="1" applyBorder="1"/>
    <xf numFmtId="0" fontId="8" fillId="2" borderId="7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0" fillId="0" borderId="8" xfId="0" applyBorder="1"/>
    <xf numFmtId="0" fontId="0" fillId="2" borderId="9" xfId="0" applyFill="1" applyBorder="1"/>
    <xf numFmtId="0" fontId="0" fillId="0" borderId="0" xfId="0" applyAlignment="1">
      <alignment horizontal="right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Office" id="{B22F1EF0-7814-4D8B-9C7E-B2721D825FBC}" userId="S::244752@office365online.co::0645b2d4-3c7c-48cc-be33-a90cf6ba962b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9" dT="2024-11-26T02:00:35.87" personId="{B22F1EF0-7814-4D8B-9C7E-B2721D825FBC}" id="{4BDEED2C-882F-41A8-B5A3-758F150BEF86}">
    <text xml:space="preserve">trunca um número para um inteiro, removendo a parte fracionária </text>
  </threadedComment>
  <threadedComment ref="E9" dT="2024-11-26T02:01:16.92" personId="{B22F1EF0-7814-4D8B-9C7E-B2721D825FBC}" id="{FB675ACF-5DFE-4826-A45C-22954EDFD410}">
    <text xml:space="preserve">arredonda um número para baixo até o número inteiro mais próximo </text>
  </threadedComment>
  <threadedComment ref="F9" dT="2024-11-26T02:02:01.56" personId="{B22F1EF0-7814-4D8B-9C7E-B2721D825FBC}" id="{56F94F49-04FB-4295-9386-02B9C005ED01}">
    <text xml:space="preserve">Retorna o núm arredondado para o inteiro par mais próximo. </text>
  </threadedComment>
  <threadedComment ref="G9" dT="2024-11-26T02:02:38.44" personId="{B22F1EF0-7814-4D8B-9C7E-B2721D825FBC}" id="{C3341619-2DCE-4635-A966-CECDF007B540}">
    <text xml:space="preserve">arredonda um número para cima até o número inteiro ímpar mais próximo </text>
  </threadedComment>
</ThreadedComment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4412-7837-4B2E-A202-7778C15D44A5}">
  <sheetPr codeName="Planilha1"/>
  <dimension ref="A3:F23"/>
  <sheetViews>
    <sheetView workbookViewId="0">
      <selection activeCell="F20" sqref="F20"/>
    </sheetView>
  </sheetViews>
  <sheetFormatPr defaultRowHeight="14.6" x14ac:dyDescent="0.4"/>
  <cols>
    <col min="6" max="6" width="26.07421875" bestFit="1" customWidth="1"/>
  </cols>
  <sheetData>
    <row r="3" spans="1:6" x14ac:dyDescent="0.4">
      <c r="A3" t="s">
        <v>0</v>
      </c>
      <c r="B3" t="s">
        <v>1</v>
      </c>
      <c r="C3" t="s">
        <v>2</v>
      </c>
      <c r="D3" t="s">
        <v>3</v>
      </c>
      <c r="E3" t="s">
        <v>4</v>
      </c>
      <c r="F3" t="str">
        <f>CONCATENATE(A3, ", ",B3, ", ",C3, ", ",D3, ", ",E3)</f>
        <v>Ana , Pedro, João, Roger, Felipe</v>
      </c>
    </row>
    <row r="6" spans="1:6" x14ac:dyDescent="0.4">
      <c r="A6" t="s">
        <v>5</v>
      </c>
    </row>
    <row r="7" spans="1:6" x14ac:dyDescent="0.4">
      <c r="A7" t="s">
        <v>6</v>
      </c>
    </row>
    <row r="8" spans="1:6" x14ac:dyDescent="0.4">
      <c r="A8" t="s">
        <v>7</v>
      </c>
    </row>
    <row r="9" spans="1:6" x14ac:dyDescent="0.4">
      <c r="A9" t="s">
        <v>8</v>
      </c>
    </row>
    <row r="10" spans="1:6" x14ac:dyDescent="0.4">
      <c r="A10" t="s">
        <v>9</v>
      </c>
    </row>
    <row r="11" spans="1:6" x14ac:dyDescent="0.4">
      <c r="A11" t="s">
        <v>10</v>
      </c>
    </row>
    <row r="12" spans="1:6" x14ac:dyDescent="0.4">
      <c r="A12" t="s">
        <v>11</v>
      </c>
    </row>
    <row r="13" spans="1:6" x14ac:dyDescent="0.4">
      <c r="A13" t="s">
        <v>12</v>
      </c>
    </row>
    <row r="14" spans="1:6" x14ac:dyDescent="0.4">
      <c r="A14" t="s">
        <v>13</v>
      </c>
    </row>
    <row r="15" spans="1:6" x14ac:dyDescent="0.4">
      <c r="A15" t="s">
        <v>14</v>
      </c>
      <c r="B15" t="str">
        <f>CONCATENATE(A6, ", ",A7, ", ",A8, ", ",A9, ", ",A10, ", ",A11, ", ",A12, ", ",A13, ", ",A14, ", ",A15)</f>
        <v>A1, A2, A3, A4, A5, A6, A7, A8, A9, A10</v>
      </c>
    </row>
    <row r="20" spans="1:6" x14ac:dyDescent="0.4">
      <c r="A20">
        <v>1</v>
      </c>
      <c r="B20">
        <v>2</v>
      </c>
      <c r="C20">
        <v>3</v>
      </c>
      <c r="D20">
        <v>4</v>
      </c>
      <c r="E20">
        <v>5</v>
      </c>
    </row>
    <row r="21" spans="1:6" x14ac:dyDescent="0.4">
      <c r="A21">
        <v>6</v>
      </c>
      <c r="B21">
        <v>7</v>
      </c>
      <c r="C21">
        <v>8</v>
      </c>
      <c r="D21">
        <v>9</v>
      </c>
      <c r="E21">
        <v>10</v>
      </c>
    </row>
    <row r="22" spans="1:6" x14ac:dyDescent="0.4">
      <c r="A22">
        <v>11</v>
      </c>
      <c r="B22">
        <v>12</v>
      </c>
      <c r="C22">
        <v>13</v>
      </c>
      <c r="D22">
        <v>14</v>
      </c>
      <c r="E22">
        <v>15</v>
      </c>
    </row>
    <row r="23" spans="1:6" x14ac:dyDescent="0.4">
      <c r="A23">
        <v>16</v>
      </c>
      <c r="B23">
        <v>17</v>
      </c>
      <c r="C23">
        <v>18</v>
      </c>
      <c r="D23">
        <v>19</v>
      </c>
      <c r="E23">
        <v>20</v>
      </c>
      <c r="F23" t="str">
        <f>CONCATENATE(A20, ", ",B20, ", ",C20, ", ",D20, ", ",E20, ", ",A21, ", ",B21, ", ",C21, ", ",D21, ", ",E21, ", ",A22, ", ",B22, ", ",C22, ", ",D22, ", ",E22, ", ",A23, ", ",B23, ", ",C23, ", ",D23, ", ",E23)</f>
        <v>1, 2, 3, 4, 5, 6, 7, 8, 9, 10, 11, 12, 13, 14, 15, 16, 17, 18, 19, 20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AFF3-9FD5-4F9B-BCCA-7218D92DB605}">
  <sheetPr codeName="Planilha2"/>
  <dimension ref="A1:M18"/>
  <sheetViews>
    <sheetView topLeftCell="A7" workbookViewId="0">
      <selection activeCell="H20" sqref="H20"/>
    </sheetView>
  </sheetViews>
  <sheetFormatPr defaultRowHeight="14.6" x14ac:dyDescent="0.4"/>
  <sheetData>
    <row r="1" spans="1:13" x14ac:dyDescent="0.4">
      <c r="A1" s="2" t="s">
        <v>16</v>
      </c>
      <c r="B1" s="2" t="s">
        <v>15</v>
      </c>
      <c r="C1" t="s">
        <v>25</v>
      </c>
      <c r="D1" t="s">
        <v>26</v>
      </c>
      <c r="E1" t="s">
        <v>27</v>
      </c>
    </row>
    <row r="2" spans="1:13" x14ac:dyDescent="0.4">
      <c r="A2" s="3">
        <v>3</v>
      </c>
      <c r="B2" s="3">
        <v>8</v>
      </c>
      <c r="C2">
        <f>SUM(A2:B2)</f>
        <v>11</v>
      </c>
      <c r="D2">
        <f>MAX(A2:B2)</f>
        <v>8</v>
      </c>
      <c r="E2">
        <f>MIN(A2:B2)</f>
        <v>3</v>
      </c>
    </row>
    <row r="6" spans="1:13" x14ac:dyDescent="0.4">
      <c r="A6" s="2" t="s">
        <v>16</v>
      </c>
      <c r="B6" s="2" t="s">
        <v>15</v>
      </c>
      <c r="C6" s="2" t="s">
        <v>17</v>
      </c>
      <c r="D6" s="2" t="s">
        <v>18</v>
      </c>
      <c r="E6" s="2" t="s">
        <v>19</v>
      </c>
      <c r="F6" s="2" t="s">
        <v>20</v>
      </c>
      <c r="G6" s="2" t="s">
        <v>21</v>
      </c>
      <c r="H6" s="2" t="s">
        <v>22</v>
      </c>
      <c r="I6" s="2" t="s">
        <v>23</v>
      </c>
      <c r="J6" s="2" t="s">
        <v>24</v>
      </c>
      <c r="K6" t="s">
        <v>25</v>
      </c>
      <c r="L6" t="s">
        <v>26</v>
      </c>
      <c r="M6" t="s">
        <v>27</v>
      </c>
    </row>
    <row r="7" spans="1:13" x14ac:dyDescent="0.4">
      <c r="A7" s="3">
        <v>3</v>
      </c>
      <c r="B7" s="3">
        <v>8</v>
      </c>
      <c r="C7" s="3">
        <v>13</v>
      </c>
      <c r="D7" s="3">
        <v>18</v>
      </c>
      <c r="E7" s="3">
        <v>23</v>
      </c>
      <c r="F7" s="3">
        <v>28</v>
      </c>
      <c r="G7" s="3">
        <v>33</v>
      </c>
      <c r="H7" s="3">
        <v>38</v>
      </c>
      <c r="I7" s="3">
        <v>43</v>
      </c>
      <c r="J7" s="3">
        <v>48</v>
      </c>
      <c r="K7">
        <f>SUM(A6:J7)</f>
        <v>255</v>
      </c>
      <c r="L7">
        <f>MAX(A6:J7)</f>
        <v>48</v>
      </c>
      <c r="M7">
        <f>MIN(A6:J7)</f>
        <v>3</v>
      </c>
    </row>
    <row r="12" spans="1:13" x14ac:dyDescent="0.4">
      <c r="A12" s="2" t="s">
        <v>16</v>
      </c>
      <c r="B12" s="2" t="s">
        <v>15</v>
      </c>
      <c r="C12" s="2" t="s">
        <v>17</v>
      </c>
      <c r="D12" s="2" t="s">
        <v>18</v>
      </c>
      <c r="E12" s="2" t="s">
        <v>19</v>
      </c>
    </row>
    <row r="13" spans="1:13" x14ac:dyDescent="0.4">
      <c r="A13" s="1">
        <v>5</v>
      </c>
      <c r="B13" s="1">
        <v>10</v>
      </c>
      <c r="C13" s="1">
        <v>15</v>
      </c>
      <c r="D13" s="1">
        <v>20</v>
      </c>
      <c r="E13" s="1">
        <v>25</v>
      </c>
    </row>
    <row r="14" spans="1:13" x14ac:dyDescent="0.4">
      <c r="A14" s="1">
        <v>30</v>
      </c>
      <c r="B14" s="1">
        <v>35</v>
      </c>
      <c r="C14" s="1">
        <v>40</v>
      </c>
      <c r="D14" s="1">
        <v>45</v>
      </c>
      <c r="E14" s="1">
        <v>50</v>
      </c>
    </row>
    <row r="15" spans="1:13" x14ac:dyDescent="0.4">
      <c r="A15" s="1">
        <v>55</v>
      </c>
      <c r="B15" s="1">
        <v>60</v>
      </c>
      <c r="C15" s="1">
        <v>65</v>
      </c>
      <c r="D15" s="1">
        <v>70</v>
      </c>
      <c r="E15" s="1">
        <v>75</v>
      </c>
    </row>
    <row r="16" spans="1:13" x14ac:dyDescent="0.4">
      <c r="A16" s="1">
        <v>80</v>
      </c>
      <c r="B16" s="1">
        <v>85</v>
      </c>
      <c r="C16" s="1">
        <v>90</v>
      </c>
      <c r="D16" s="1">
        <v>95</v>
      </c>
      <c r="E16" s="1">
        <v>100</v>
      </c>
    </row>
    <row r="17" spans="1:8" x14ac:dyDescent="0.4">
      <c r="A17" s="1">
        <v>105</v>
      </c>
      <c r="B17" s="1">
        <v>110</v>
      </c>
      <c r="C17" s="1">
        <v>115</v>
      </c>
      <c r="D17" s="1">
        <v>120</v>
      </c>
      <c r="E17" s="1">
        <v>125</v>
      </c>
      <c r="F17" t="s">
        <v>25</v>
      </c>
      <c r="G17" t="s">
        <v>26</v>
      </c>
      <c r="H17" t="s">
        <v>27</v>
      </c>
    </row>
    <row r="18" spans="1:8" x14ac:dyDescent="0.4">
      <c r="A18" s="1">
        <v>130</v>
      </c>
      <c r="B18" s="1">
        <v>135</v>
      </c>
      <c r="C18" s="1">
        <v>140</v>
      </c>
      <c r="D18" s="1">
        <v>145</v>
      </c>
      <c r="E18" s="1">
        <v>150</v>
      </c>
      <c r="F18">
        <f>SUM(A13:E18)</f>
        <v>2325</v>
      </c>
      <c r="G18">
        <f>MAX(A13:E18)</f>
        <v>150</v>
      </c>
      <c r="H18">
        <f>MIN(A13:E18)</f>
        <v>5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7B7A1-EB3D-4268-99E1-B930E38D4CE5}">
  <sheetPr codeName="Planilha3"/>
  <dimension ref="A1:L34"/>
  <sheetViews>
    <sheetView workbookViewId="0">
      <selection activeCell="G24" sqref="G24:G34"/>
    </sheetView>
  </sheetViews>
  <sheetFormatPr defaultRowHeight="14.6" x14ac:dyDescent="0.4"/>
  <cols>
    <col min="1" max="1" width="14" bestFit="1" customWidth="1"/>
    <col min="6" max="6" width="14" bestFit="1" customWidth="1"/>
    <col min="11" max="11" width="14" bestFit="1" customWidth="1"/>
  </cols>
  <sheetData>
    <row r="1" spans="1:12" x14ac:dyDescent="0.4">
      <c r="A1" s="4" t="s">
        <v>28</v>
      </c>
      <c r="F1" s="4" t="s">
        <v>28</v>
      </c>
      <c r="K1" s="4" t="s">
        <v>28</v>
      </c>
    </row>
    <row r="2" spans="1:12" x14ac:dyDescent="0.4">
      <c r="A2" t="s">
        <v>29</v>
      </c>
      <c r="B2" t="str">
        <f>IF(COUNTIF($A$1:$A2, A2) &gt; 1, "Duplicado", "-")</f>
        <v>-</v>
      </c>
      <c r="F2" t="s">
        <v>29</v>
      </c>
      <c r="G2" t="str">
        <f>IF(COUNTIF($F$1:$F2, F2) &gt; 1, "Duplicado", "-")</f>
        <v>-</v>
      </c>
      <c r="K2" t="s">
        <v>29</v>
      </c>
      <c r="L2" t="str">
        <f>IF(COUNTIF($K$2:$K2, K2) &gt; 1, "Duplicado", "-")</f>
        <v>-</v>
      </c>
    </row>
    <row r="3" spans="1:12" x14ac:dyDescent="0.4">
      <c r="A3" t="s">
        <v>30</v>
      </c>
      <c r="B3" t="str">
        <f>IF(COUNTIF($A$1:$A3, A3) &gt; 1, "Duplicado", "-")</f>
        <v>-</v>
      </c>
      <c r="F3" t="s">
        <v>30</v>
      </c>
      <c r="G3" t="str">
        <f>IF(COUNTIF($F$1:$F3, F3) &gt; 1, "Duplicado", "-")</f>
        <v>-</v>
      </c>
      <c r="K3" t="s">
        <v>30</v>
      </c>
      <c r="L3" t="str">
        <f>IF(COUNTIF($K$2:$K3, K3) &gt; 1, "Duplicado", "-")</f>
        <v>-</v>
      </c>
    </row>
    <row r="4" spans="1:12" x14ac:dyDescent="0.4">
      <c r="A4" t="s">
        <v>29</v>
      </c>
      <c r="B4" t="str">
        <f>IF(COUNTIF($A$1:$A4, A4) &gt; 1, "Duplicado", "-")</f>
        <v>Duplicado</v>
      </c>
      <c r="F4" t="s">
        <v>29</v>
      </c>
      <c r="G4" t="str">
        <f>IF(COUNTIF($F$1:$F4, F4) &gt; 1, "Duplicado", "-")</f>
        <v>Duplicado</v>
      </c>
      <c r="K4" t="s">
        <v>29</v>
      </c>
      <c r="L4" t="str">
        <f>IF(COUNTIF($K$2:$K4, K4) &gt; 1, "Duplicado", "-")</f>
        <v>Duplicado</v>
      </c>
    </row>
    <row r="5" spans="1:12" x14ac:dyDescent="0.4">
      <c r="A5" t="s">
        <v>31</v>
      </c>
      <c r="B5" t="str">
        <f>IF(COUNTIF($A$1:$A5, A5) &gt; 1, "Duplicado", "-")</f>
        <v>-</v>
      </c>
      <c r="F5" t="s">
        <v>31</v>
      </c>
      <c r="G5" t="str">
        <f>IF(COUNTIF($F$1:$F5, F5) &gt; 1, "Duplicado", "-")</f>
        <v>-</v>
      </c>
      <c r="K5" t="s">
        <v>31</v>
      </c>
      <c r="L5" t="str">
        <f>IF(COUNTIF($K$2:$K5, K5) &gt; 1, "Duplicado", "-")</f>
        <v>-</v>
      </c>
    </row>
    <row r="6" spans="1:12" x14ac:dyDescent="0.4">
      <c r="A6" t="s">
        <v>32</v>
      </c>
      <c r="B6" t="str">
        <f>IF(COUNTIF($A$1:$A6, A6) &gt; 1, "Duplicado", "-")</f>
        <v>-</v>
      </c>
      <c r="F6" t="s">
        <v>32</v>
      </c>
      <c r="G6" t="str">
        <f>IF(COUNTIF($F$1:$F6, F6) &gt; 1, "Duplicado", "-")</f>
        <v>-</v>
      </c>
      <c r="K6" t="s">
        <v>32</v>
      </c>
      <c r="L6" t="str">
        <f>IF(COUNTIF($K$2:$K6, K6) &gt; 1, "Duplicado", "-")</f>
        <v>-</v>
      </c>
    </row>
    <row r="7" spans="1:12" x14ac:dyDescent="0.4">
      <c r="A7" t="s">
        <v>31</v>
      </c>
      <c r="B7" t="str">
        <f>IF(COUNTIF($A$1:$A7, A7) &gt; 1, "Duplicado", "-")</f>
        <v>Duplicado</v>
      </c>
      <c r="F7" t="s">
        <v>31</v>
      </c>
      <c r="G7" t="str">
        <f>IF(COUNTIF($F$1:$F7, F7) &gt; 1, "Duplicado", "-")</f>
        <v>Duplicado</v>
      </c>
      <c r="K7" t="s">
        <v>31</v>
      </c>
      <c r="L7" t="str">
        <f>IF(COUNTIF($K$2:$K7, K7) &gt; 1, "Duplicado", "-")</f>
        <v>Duplicado</v>
      </c>
    </row>
    <row r="8" spans="1:12" x14ac:dyDescent="0.4">
      <c r="A8" t="s">
        <v>31</v>
      </c>
      <c r="B8" t="str">
        <f>IF(COUNTIF($A$1:$A8, A8) &gt; 1, "Duplicado", "-")</f>
        <v>Duplicado</v>
      </c>
      <c r="F8" t="s">
        <v>31</v>
      </c>
      <c r="G8" t="str">
        <f>IF(COUNTIF($F$1:$F8, F8) &gt; 1, "Duplicado", "-")</f>
        <v>Duplicado</v>
      </c>
      <c r="K8" t="s">
        <v>31</v>
      </c>
      <c r="L8" t="str">
        <f>IF(COUNTIF($K$2:$K8, K8) &gt; 1, "Duplicado", "-")</f>
        <v>Duplicado</v>
      </c>
    </row>
    <row r="9" spans="1:12" x14ac:dyDescent="0.4">
      <c r="A9" t="s">
        <v>33</v>
      </c>
      <c r="B9" t="str">
        <f>IF(COUNTIF($A$1:$A9, A9) &gt; 1, "Duplicado", "-")</f>
        <v>-</v>
      </c>
      <c r="F9" t="s">
        <v>33</v>
      </c>
      <c r="G9" t="str">
        <f>IF(COUNTIF($F$1:$F9, F9) &gt; 1, "Duplicado", "-")</f>
        <v>-</v>
      </c>
      <c r="K9" t="s">
        <v>33</v>
      </c>
      <c r="L9" t="str">
        <f>IF(COUNTIF($K$2:$K9, K9) &gt; 1, "Duplicado", "-")</f>
        <v>-</v>
      </c>
    </row>
    <row r="10" spans="1:12" x14ac:dyDescent="0.4">
      <c r="A10" t="s">
        <v>30</v>
      </c>
      <c r="B10" t="str">
        <f>IF(COUNTIF($A$1:$A10, A10) &gt; 1, "Duplicado", "-")</f>
        <v>Duplicado</v>
      </c>
      <c r="F10" t="s">
        <v>30</v>
      </c>
      <c r="G10" t="str">
        <f>IF(COUNTIF($F$1:$F10, F10) &gt; 1, "Duplicado", "-")</f>
        <v>Duplicado</v>
      </c>
      <c r="K10" t="s">
        <v>30</v>
      </c>
      <c r="L10" t="str">
        <f>IF(COUNTIF($K$2:$K10, K10) &gt; 1, "Duplicado", "-")</f>
        <v>Duplicado</v>
      </c>
    </row>
    <row r="11" spans="1:12" x14ac:dyDescent="0.4">
      <c r="A11" t="s">
        <v>34</v>
      </c>
      <c r="B11" t="str">
        <f>IF(COUNTIF($A$1:$A11, A11) &gt; 1, "Duplicado", "-")</f>
        <v>-</v>
      </c>
      <c r="F11" t="s">
        <v>34</v>
      </c>
      <c r="G11" t="str">
        <f>IF(COUNTIF($F$1:$F11, F11) &gt; 1, "Duplicado", "-")</f>
        <v>-</v>
      </c>
      <c r="K11" t="s">
        <v>34</v>
      </c>
      <c r="L11" t="str">
        <f>IF(COUNTIF($K$2:$K11, K11) &gt; 1, "Duplicado", "-")</f>
        <v>-</v>
      </c>
    </row>
    <row r="12" spans="1:12" x14ac:dyDescent="0.4">
      <c r="A12" t="s">
        <v>30</v>
      </c>
      <c r="B12" t="str">
        <f>IF(COUNTIF($A$1:$A12, A12) &gt; 1, "Duplicado", "-")</f>
        <v>Duplicado</v>
      </c>
      <c r="F12" t="s">
        <v>30</v>
      </c>
      <c r="G12" t="str">
        <f>IF(COUNTIF($F$1:$F12, F12) &gt; 1, "Duplicado", "-")</f>
        <v>Duplicado</v>
      </c>
      <c r="K12" t="s">
        <v>30</v>
      </c>
      <c r="L12" t="str">
        <f>IF(COUNTIF($K$2:$K12, K12) &gt; 1, "Duplicado", "-")</f>
        <v>Duplicado</v>
      </c>
    </row>
    <row r="23" spans="1:11" x14ac:dyDescent="0.4">
      <c r="A23" s="4" t="s">
        <v>28</v>
      </c>
      <c r="F23" s="4" t="s">
        <v>28</v>
      </c>
      <c r="K23" s="4" t="s">
        <v>28</v>
      </c>
    </row>
    <row r="24" spans="1:11" x14ac:dyDescent="0.4">
      <c r="A24" t="s">
        <v>29</v>
      </c>
      <c r="F24" t="s">
        <v>30</v>
      </c>
      <c r="G24" t="str">
        <f>IF(COUNTIF($F$24:$F24, F24) &gt; 1, "Duplicado", "-")</f>
        <v>-</v>
      </c>
      <c r="K24" t="s">
        <v>29</v>
      </c>
    </row>
    <row r="25" spans="1:11" x14ac:dyDescent="0.4">
      <c r="A25" t="s">
        <v>30</v>
      </c>
      <c r="F25" t="s">
        <v>29</v>
      </c>
      <c r="G25" t="str">
        <f>IF(COUNTIF($F$24:$F25, F25) &gt; 1, "Duplicado", "-")</f>
        <v>-</v>
      </c>
      <c r="K25" t="s">
        <v>30</v>
      </c>
    </row>
    <row r="26" spans="1:11" x14ac:dyDescent="0.4">
      <c r="A26" t="s">
        <v>29</v>
      </c>
      <c r="F26" t="s">
        <v>29</v>
      </c>
      <c r="G26" t="str">
        <f>IF(COUNTIF($F$24:$F26, F26) &gt; 1, "Duplicado", "-")</f>
        <v>Duplicado</v>
      </c>
      <c r="K26" t="s">
        <v>29</v>
      </c>
    </row>
    <row r="27" spans="1:11" x14ac:dyDescent="0.4">
      <c r="A27" t="s">
        <v>31</v>
      </c>
      <c r="F27" t="s">
        <v>31</v>
      </c>
      <c r="G27" t="str">
        <f>IF(COUNTIF($F$24:$F27, F27) &gt; 1, "Duplicado", "-")</f>
        <v>-</v>
      </c>
      <c r="K27" t="s">
        <v>31</v>
      </c>
    </row>
    <row r="28" spans="1:11" x14ac:dyDescent="0.4">
      <c r="A28" t="s">
        <v>32</v>
      </c>
      <c r="F28" t="s">
        <v>31</v>
      </c>
      <c r="G28" t="str">
        <f>IF(COUNTIF($F$24:$F28, F28) &gt; 1, "Duplicado", "-")</f>
        <v>Duplicado</v>
      </c>
      <c r="K28" t="s">
        <v>32</v>
      </c>
    </row>
    <row r="29" spans="1:11" x14ac:dyDescent="0.4">
      <c r="A29" t="s">
        <v>31</v>
      </c>
      <c r="F29" t="s">
        <v>32</v>
      </c>
      <c r="G29" t="str">
        <f>IF(COUNTIF($F$24:$F29, F29) &gt; 1, "Duplicado", "-")</f>
        <v>-</v>
      </c>
      <c r="K29" t="s">
        <v>31</v>
      </c>
    </row>
    <row r="30" spans="1:11" x14ac:dyDescent="0.4">
      <c r="A30" t="s">
        <v>31</v>
      </c>
      <c r="F30" t="s">
        <v>31</v>
      </c>
      <c r="G30" t="str">
        <f>IF(COUNTIF($F$24:$F30, F30) &gt; 1, "Duplicado", "-")</f>
        <v>Duplicado</v>
      </c>
      <c r="K30" t="s">
        <v>31</v>
      </c>
    </row>
    <row r="31" spans="1:11" x14ac:dyDescent="0.4">
      <c r="A31" t="s">
        <v>33</v>
      </c>
      <c r="F31" t="s">
        <v>33</v>
      </c>
      <c r="G31" t="str">
        <f>IF(COUNTIF($F$24:$F31, F31) &gt; 1, "Duplicado", "-")</f>
        <v>-</v>
      </c>
      <c r="K31" t="s">
        <v>33</v>
      </c>
    </row>
    <row r="32" spans="1:11" x14ac:dyDescent="0.4">
      <c r="A32" t="s">
        <v>30</v>
      </c>
      <c r="F32" t="s">
        <v>30</v>
      </c>
      <c r="G32" t="str">
        <f>IF(COUNTIF($F$24:$F32, F32) &gt; 1, "Duplicado", "-")</f>
        <v>Duplicado</v>
      </c>
      <c r="K32" t="s">
        <v>30</v>
      </c>
    </row>
    <row r="33" spans="1:11" x14ac:dyDescent="0.4">
      <c r="A33" t="s">
        <v>34</v>
      </c>
      <c r="F33" t="s">
        <v>30</v>
      </c>
      <c r="G33" t="str">
        <f>IF(COUNTIF($F$24:$F33, F33) &gt; 1, "Duplicado", "-")</f>
        <v>Duplicado</v>
      </c>
      <c r="K33" t="s">
        <v>34</v>
      </c>
    </row>
    <row r="34" spans="1:11" x14ac:dyDescent="0.4">
      <c r="A34" t="s">
        <v>30</v>
      </c>
      <c r="F34" t="s">
        <v>34</v>
      </c>
      <c r="G34" t="str">
        <f>IF(COUNTIF($F$24:$F34, F34) &gt; 1, "Duplicado", "-")</f>
        <v>-</v>
      </c>
      <c r="K34" t="s">
        <v>30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BEFAD-A8BD-4D8C-A4EF-A1E6147342EF}">
  <sheetPr codeName="Planilha4"/>
  <dimension ref="D7:G23"/>
  <sheetViews>
    <sheetView workbookViewId="0">
      <selection activeCell="E12" sqref="E12"/>
    </sheetView>
  </sheetViews>
  <sheetFormatPr defaultRowHeight="14.6" x14ac:dyDescent="0.4"/>
  <cols>
    <col min="6" max="6" width="22.84375" bestFit="1" customWidth="1"/>
    <col min="7" max="7" width="22.15234375" bestFit="1" customWidth="1"/>
  </cols>
  <sheetData>
    <row r="7" spans="4:7" x14ac:dyDescent="0.4">
      <c r="D7" s="6"/>
      <c r="E7" t="s">
        <v>35</v>
      </c>
      <c r="F7" t="s">
        <v>37</v>
      </c>
      <c r="G7" t="s">
        <v>36</v>
      </c>
    </row>
    <row r="8" spans="4:7" x14ac:dyDescent="0.4">
      <c r="D8" s="5">
        <v>137.566</v>
      </c>
      <c r="E8">
        <f>ROUND(D8, 1)</f>
        <v>137.6</v>
      </c>
      <c r="F8">
        <f>ROUNDUP(D8, 1)</f>
        <v>137.6</v>
      </c>
      <c r="G8">
        <f>ROUNDDOWN(D8, 1)</f>
        <v>137.5</v>
      </c>
    </row>
    <row r="20" spans="4:4" x14ac:dyDescent="0.4">
      <c r="D20" s="5"/>
    </row>
    <row r="21" spans="4:4" x14ac:dyDescent="0.4">
      <c r="D21" s="5"/>
    </row>
    <row r="22" spans="4:4" x14ac:dyDescent="0.4">
      <c r="D22" s="5"/>
    </row>
    <row r="23" spans="4:4" x14ac:dyDescent="0.4">
      <c r="D23" s="5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0F7E9-18FC-4091-99DD-A6D645253EC9}">
  <sheetPr codeName="Planilha5"/>
  <dimension ref="C9:G20"/>
  <sheetViews>
    <sheetView workbookViewId="0">
      <selection activeCell="K17" sqref="K17"/>
    </sheetView>
  </sheetViews>
  <sheetFormatPr defaultRowHeight="14.6" x14ac:dyDescent="0.4"/>
  <cols>
    <col min="3" max="3" width="10.61328125" bestFit="1" customWidth="1"/>
  </cols>
  <sheetData>
    <row r="9" spans="3:7" ht="18.45" x14ac:dyDescent="0.4">
      <c r="C9" s="7" t="s">
        <v>38</v>
      </c>
      <c r="D9" t="s">
        <v>39</v>
      </c>
      <c r="E9" t="s">
        <v>40</v>
      </c>
      <c r="F9" t="s">
        <v>41</v>
      </c>
      <c r="G9" t="s">
        <v>42</v>
      </c>
    </row>
    <row r="10" spans="3:7" ht="15.9" x14ac:dyDescent="0.4">
      <c r="C10" s="8">
        <v>66.569999999999993</v>
      </c>
      <c r="D10">
        <f>TRUNC(C10, 0)</f>
        <v>66</v>
      </c>
      <c r="E10">
        <f>INT(C10)</f>
        <v>66</v>
      </c>
      <c r="F10">
        <f>EVEN(C10)</f>
        <v>68</v>
      </c>
      <c r="G10">
        <f>ODD(C10)</f>
        <v>67</v>
      </c>
    </row>
    <row r="11" spans="3:7" ht="15.9" x14ac:dyDescent="0.4">
      <c r="C11" s="8">
        <v>99.12</v>
      </c>
      <c r="D11">
        <f t="shared" ref="D11:D20" si="0">TRUNC(C11, 0)</f>
        <v>99</v>
      </c>
      <c r="E11">
        <f t="shared" ref="E11:E20" si="1">INT(C11)</f>
        <v>99</v>
      </c>
      <c r="F11">
        <f t="shared" ref="F11:F20" si="2">EVEN(C11)</f>
        <v>100</v>
      </c>
      <c r="G11">
        <f t="shared" ref="G11:G20" si="3">ODD(C11)</f>
        <v>101</v>
      </c>
    </row>
    <row r="12" spans="3:7" ht="15.9" x14ac:dyDescent="0.4">
      <c r="C12" s="8">
        <v>-32.130000000000003</v>
      </c>
      <c r="D12">
        <f t="shared" si="0"/>
        <v>-32</v>
      </c>
      <c r="E12">
        <f t="shared" si="1"/>
        <v>-33</v>
      </c>
      <c r="F12">
        <f t="shared" si="2"/>
        <v>-34</v>
      </c>
      <c r="G12">
        <f t="shared" si="3"/>
        <v>-33</v>
      </c>
    </row>
    <row r="13" spans="3:7" ht="15.9" x14ac:dyDescent="0.4">
      <c r="C13" s="8">
        <v>55.47</v>
      </c>
      <c r="D13">
        <f t="shared" si="0"/>
        <v>55</v>
      </c>
      <c r="E13">
        <f t="shared" si="1"/>
        <v>55</v>
      </c>
      <c r="F13">
        <f t="shared" si="2"/>
        <v>56</v>
      </c>
      <c r="G13">
        <f t="shared" si="3"/>
        <v>57</v>
      </c>
    </row>
    <row r="14" spans="3:7" ht="15.9" x14ac:dyDescent="0.4">
      <c r="C14" s="8">
        <v>55.55</v>
      </c>
      <c r="D14">
        <f t="shared" si="0"/>
        <v>55</v>
      </c>
      <c r="E14">
        <f t="shared" si="1"/>
        <v>55</v>
      </c>
      <c r="F14">
        <f t="shared" si="2"/>
        <v>56</v>
      </c>
      <c r="G14">
        <f t="shared" si="3"/>
        <v>57</v>
      </c>
    </row>
    <row r="15" spans="3:7" ht="15.9" x14ac:dyDescent="0.4">
      <c r="C15" s="8">
        <v>61.89</v>
      </c>
      <c r="D15">
        <f t="shared" si="0"/>
        <v>61</v>
      </c>
      <c r="E15">
        <f t="shared" si="1"/>
        <v>61</v>
      </c>
      <c r="F15">
        <f t="shared" si="2"/>
        <v>62</v>
      </c>
      <c r="G15">
        <f t="shared" si="3"/>
        <v>63</v>
      </c>
    </row>
    <row r="16" spans="3:7" ht="15.9" x14ac:dyDescent="0.4">
      <c r="C16" s="8">
        <v>21.61</v>
      </c>
      <c r="D16">
        <f t="shared" si="0"/>
        <v>21</v>
      </c>
      <c r="E16">
        <f t="shared" si="1"/>
        <v>21</v>
      </c>
      <c r="F16">
        <f t="shared" si="2"/>
        <v>22</v>
      </c>
      <c r="G16">
        <f t="shared" si="3"/>
        <v>23</v>
      </c>
    </row>
    <row r="17" spans="3:7" ht="15.9" x14ac:dyDescent="0.4">
      <c r="C17" s="8">
        <v>11.15</v>
      </c>
      <c r="D17">
        <f t="shared" si="0"/>
        <v>11</v>
      </c>
      <c r="E17">
        <f t="shared" si="1"/>
        <v>11</v>
      </c>
      <c r="F17">
        <f t="shared" si="2"/>
        <v>12</v>
      </c>
      <c r="G17">
        <f t="shared" si="3"/>
        <v>13</v>
      </c>
    </row>
    <row r="18" spans="3:7" ht="15.9" x14ac:dyDescent="0.4">
      <c r="C18" s="8">
        <v>15.71</v>
      </c>
      <c r="D18">
        <f t="shared" si="0"/>
        <v>15</v>
      </c>
      <c r="E18">
        <f t="shared" si="1"/>
        <v>15</v>
      </c>
      <c r="F18">
        <f t="shared" si="2"/>
        <v>16</v>
      </c>
      <c r="G18">
        <f t="shared" si="3"/>
        <v>17</v>
      </c>
    </row>
    <row r="19" spans="3:7" ht="15.9" x14ac:dyDescent="0.4">
      <c r="C19" s="8">
        <v>-9.75</v>
      </c>
      <c r="D19">
        <f t="shared" si="0"/>
        <v>-9</v>
      </c>
      <c r="E19">
        <f t="shared" si="1"/>
        <v>-10</v>
      </c>
      <c r="F19">
        <f t="shared" si="2"/>
        <v>-10</v>
      </c>
      <c r="G19">
        <f t="shared" si="3"/>
        <v>-11</v>
      </c>
    </row>
    <row r="20" spans="3:7" ht="15.9" x14ac:dyDescent="0.4">
      <c r="C20" s="8">
        <v>-20.23</v>
      </c>
      <c r="D20">
        <f t="shared" si="0"/>
        <v>-20</v>
      </c>
      <c r="E20">
        <f t="shared" si="1"/>
        <v>-21</v>
      </c>
      <c r="F20">
        <f t="shared" si="2"/>
        <v>-22</v>
      </c>
      <c r="G20">
        <f t="shared" si="3"/>
        <v>-21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64BD8-D21A-4A84-831B-0D00ECA00F48}">
  <sheetPr codeName="Planilha6"/>
  <dimension ref="E10:L11"/>
  <sheetViews>
    <sheetView topLeftCell="A4" workbookViewId="0">
      <selection activeCell="E14" sqref="E14"/>
    </sheetView>
  </sheetViews>
  <sheetFormatPr defaultRowHeight="14.6" x14ac:dyDescent="0.4"/>
  <cols>
    <col min="5" max="5" width="10.07421875" bestFit="1" customWidth="1"/>
    <col min="6" max="6" width="3.61328125" bestFit="1" customWidth="1"/>
    <col min="7" max="7" width="4.3828125" bestFit="1" customWidth="1"/>
    <col min="8" max="8" width="16.23046875" bestFit="1" customWidth="1"/>
    <col min="9" max="9" width="4.84375" bestFit="1" customWidth="1"/>
    <col min="10" max="10" width="15.61328125" bestFit="1" customWidth="1"/>
    <col min="11" max="11" width="20.53515625" bestFit="1" customWidth="1"/>
    <col min="12" max="12" width="13.765625" bestFit="1" customWidth="1"/>
  </cols>
  <sheetData>
    <row r="10" spans="5:12" x14ac:dyDescent="0.4">
      <c r="F10" t="s">
        <v>43</v>
      </c>
      <c r="G10" t="s">
        <v>44</v>
      </c>
      <c r="H10" t="s">
        <v>45</v>
      </c>
      <c r="I10" t="s">
        <v>46</v>
      </c>
      <c r="J10" t="s">
        <v>47</v>
      </c>
      <c r="K10" t="s">
        <v>48</v>
      </c>
      <c r="L10" t="s">
        <v>49</v>
      </c>
    </row>
    <row r="11" spans="5:12" x14ac:dyDescent="0.4">
      <c r="E11" s="9">
        <f ca="1">TODAY()</f>
        <v>45635</v>
      </c>
      <c r="F11">
        <f ca="1">DAY(E11)</f>
        <v>9</v>
      </c>
      <c r="G11">
        <f ca="1">MONTH(E11)</f>
        <v>12</v>
      </c>
      <c r="H11" t="str">
        <f ca="1">TEXT(E11,"mmmm")</f>
        <v>dezembro</v>
      </c>
      <c r="I11">
        <f ca="1">YEAR(E11)</f>
        <v>2024</v>
      </c>
      <c r="J11" t="str">
        <f ca="1">TEXT(E11,"dd/mm/aaaa")</f>
        <v>09/12/2024</v>
      </c>
      <c r="K11" t="str">
        <f ca="1">TEXT(E11, "dd ""de"" mmmm ""de"" aaaa")</f>
        <v>09 de dezembro de 2024</v>
      </c>
      <c r="L11" t="str">
        <f ca="1">TEXT(E11,"dddd")</f>
        <v>segunda-feira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88545-A3A7-453F-9BD2-941EF35E6952}">
  <sheetPr codeName="Planilha7"/>
  <dimension ref="A8:G9"/>
  <sheetViews>
    <sheetView workbookViewId="0">
      <selection activeCell="B19" sqref="B19"/>
    </sheetView>
  </sheetViews>
  <sheetFormatPr defaultRowHeight="14.6" x14ac:dyDescent="0.4"/>
  <cols>
    <col min="1" max="1" width="19.07421875" bestFit="1" customWidth="1"/>
    <col min="2" max="2" width="21.3046875" bestFit="1" customWidth="1"/>
    <col min="3" max="3" width="18" bestFit="1" customWidth="1"/>
    <col min="4" max="4" width="18.765625" bestFit="1" customWidth="1"/>
    <col min="5" max="5" width="10.61328125" bestFit="1" customWidth="1"/>
    <col min="6" max="6" width="12.3828125" bestFit="1" customWidth="1"/>
    <col min="7" max="7" width="55.921875" bestFit="1" customWidth="1"/>
    <col min="8" max="8" width="26.23046875" bestFit="1" customWidth="1"/>
    <col min="9" max="9" width="4.53515625" bestFit="1" customWidth="1"/>
  </cols>
  <sheetData>
    <row r="8" spans="1:7" x14ac:dyDescent="0.4">
      <c r="B8" t="s">
        <v>50</v>
      </c>
      <c r="C8" t="s">
        <v>51</v>
      </c>
      <c r="D8" t="s">
        <v>52</v>
      </c>
      <c r="E8" t="s">
        <v>53</v>
      </c>
      <c r="F8" t="s">
        <v>54</v>
      </c>
      <c r="G8" t="s">
        <v>55</v>
      </c>
    </row>
    <row r="9" spans="1:7" x14ac:dyDescent="0.4">
      <c r="A9" t="s">
        <v>56</v>
      </c>
      <c r="B9" t="str">
        <f>UPPER(A9)</f>
        <v xml:space="preserve">         RODRIGO COSTA        </v>
      </c>
      <c r="C9" t="str">
        <f>LOWER(A9)</f>
        <v xml:space="preserve">         rodrigo costa        </v>
      </c>
      <c r="D9" t="str">
        <f>PROPER(A9)</f>
        <v xml:space="preserve">         Rodrigo Costa        </v>
      </c>
      <c r="E9">
        <f>LEN(A9)</f>
        <v>30</v>
      </c>
      <c r="F9" t="str">
        <f>TRIM(A9)</f>
        <v>rodrigo COSTA</v>
      </c>
      <c r="G9" t="str">
        <f>REPT(A9, 3)</f>
        <v xml:space="preserve">         rodrigo COSTA                 rodrigo COSTA                 rodrigo COSTA        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03E2A-A627-42DF-9806-FFCAD6ADB47B}">
  <sheetPr codeName="Planilha8"/>
  <dimension ref="B3:L15"/>
  <sheetViews>
    <sheetView topLeftCell="C1" workbookViewId="0">
      <selection activeCell="I4" sqref="I4"/>
    </sheetView>
  </sheetViews>
  <sheetFormatPr defaultColWidth="8" defaultRowHeight="14.6" x14ac:dyDescent="0.4"/>
  <cols>
    <col min="2" max="2" width="17.69140625" bestFit="1" customWidth="1"/>
    <col min="3" max="3" width="15.921875" bestFit="1" customWidth="1"/>
    <col min="4" max="4" width="24.4609375" style="5" bestFit="1" customWidth="1"/>
    <col min="5" max="5" width="8.23046875" bestFit="1" customWidth="1"/>
    <col min="6" max="6" width="15" bestFit="1" customWidth="1"/>
    <col min="8" max="8" width="17.69140625" bestFit="1" customWidth="1"/>
    <col min="9" max="9" width="12.69140625" bestFit="1" customWidth="1"/>
    <col min="10" max="10" width="20.53515625" bestFit="1" customWidth="1"/>
    <col min="11" max="11" width="8.23046875" style="5" bestFit="1" customWidth="1"/>
    <col min="12" max="12" width="11.07421875" style="20" bestFit="1" customWidth="1"/>
    <col min="13" max="13" width="9.53515625" bestFit="1" customWidth="1"/>
  </cols>
  <sheetData>
    <row r="3" spans="2:12" ht="18.45" x14ac:dyDescent="0.5">
      <c r="B3" s="10" t="s">
        <v>81</v>
      </c>
      <c r="C3" s="10" t="s">
        <v>57</v>
      </c>
      <c r="D3" s="10" t="s">
        <v>28</v>
      </c>
      <c r="E3" s="14" t="s">
        <v>58</v>
      </c>
      <c r="F3" s="11" t="s">
        <v>59</v>
      </c>
      <c r="H3" s="10" t="s">
        <v>81</v>
      </c>
      <c r="I3" s="10" t="s">
        <v>57</v>
      </c>
      <c r="J3" s="10" t="s">
        <v>28</v>
      </c>
      <c r="K3" s="14" t="s">
        <v>58</v>
      </c>
      <c r="L3" s="18" t="s">
        <v>59</v>
      </c>
    </row>
    <row r="4" spans="2:12" ht="18.45" x14ac:dyDescent="0.5">
      <c r="B4" s="12" t="s">
        <v>82</v>
      </c>
      <c r="C4" s="12" t="s">
        <v>60</v>
      </c>
      <c r="D4" s="12" t="s">
        <v>61</v>
      </c>
      <c r="E4" s="15">
        <v>29</v>
      </c>
      <c r="F4" s="13">
        <v>2000</v>
      </c>
      <c r="H4" s="12" t="s">
        <v>82</v>
      </c>
      <c r="I4" s="16" t="str">
        <f>VLOOKUP(H4,$B$3:$F$15,2,FALSE)</f>
        <v>São Paulo</v>
      </c>
      <c r="J4" s="16" t="str">
        <f>VLOOKUP(H4,$B$3:$F$15,3,FALSE)</f>
        <v>Bruna Alves</v>
      </c>
      <c r="K4" s="17">
        <f>VLOOKUP(H4,$B$3:$F$15,4,FALSE)</f>
        <v>29</v>
      </c>
      <c r="L4" s="19">
        <f>VLOOKUP(H4,$B$3:$F$15,5,FALSE)</f>
        <v>2000</v>
      </c>
    </row>
    <row r="5" spans="2:12" ht="18.45" x14ac:dyDescent="0.5">
      <c r="B5" s="12" t="s">
        <v>86</v>
      </c>
      <c r="C5" s="12" t="s">
        <v>62</v>
      </c>
      <c r="D5" s="12" t="s">
        <v>63</v>
      </c>
      <c r="E5" s="15">
        <v>49</v>
      </c>
      <c r="F5" s="13">
        <v>2500</v>
      </c>
      <c r="H5" s="12" t="s">
        <v>83</v>
      </c>
      <c r="I5" s="16" t="str">
        <f>VLOOKUP(H5,$B$3:$F$15,2,FALSE)</f>
        <v>Salvador</v>
      </c>
      <c r="J5" s="16" t="str">
        <f>VLOOKUP(H5,$B$3:$F$15,3,FALSE)</f>
        <v>Henrique Oliveira Silva</v>
      </c>
      <c r="K5" s="17">
        <f>VLOOKUP(H5,$B$3:$F$15,4,FALSE)</f>
        <v>25</v>
      </c>
      <c r="L5" s="19">
        <f>VLOOKUP(H5,$B$3:$F$15,5,FALSE)</f>
        <v>3000</v>
      </c>
    </row>
    <row r="6" spans="2:12" ht="18.45" x14ac:dyDescent="0.5">
      <c r="B6" s="12" t="s">
        <v>87</v>
      </c>
      <c r="C6" s="12" t="s">
        <v>64</v>
      </c>
      <c r="D6" s="12" t="s">
        <v>65</v>
      </c>
      <c r="E6" s="15">
        <v>18</v>
      </c>
      <c r="F6" s="13">
        <v>3000</v>
      </c>
      <c r="H6" s="12" t="s">
        <v>84</v>
      </c>
      <c r="I6" s="16" t="str">
        <f>VLOOKUP(H6,$B$3:$F$15,2,FALSE)</f>
        <v>Recife</v>
      </c>
      <c r="J6" s="16" t="str">
        <f>VLOOKUP(H6,$B$3:$F$15,3,FALSE)</f>
        <v>Robson Martins</v>
      </c>
      <c r="K6" s="17">
        <f>VLOOKUP(H6,$B$3:$F$15,4,FALSE)</f>
        <v>45</v>
      </c>
      <c r="L6" s="19">
        <f>VLOOKUP(H6,$B$3:$F$15,5,FALSE)</f>
        <v>2000</v>
      </c>
    </row>
    <row r="7" spans="2:12" ht="18.45" x14ac:dyDescent="0.5">
      <c r="B7" s="12" t="s">
        <v>83</v>
      </c>
      <c r="C7" s="12" t="s">
        <v>66</v>
      </c>
      <c r="D7" s="12" t="s">
        <v>67</v>
      </c>
      <c r="E7" s="15">
        <v>25</v>
      </c>
      <c r="F7" s="13">
        <v>3000</v>
      </c>
      <c r="H7" s="12" t="s">
        <v>85</v>
      </c>
      <c r="I7" s="16" t="str">
        <f>VLOOKUP(H7,$B$3:$F$15,2,FALSE)</f>
        <v>Rio de Janeiro</v>
      </c>
      <c r="J7" s="16" t="str">
        <f>VLOOKUP(H7,$B$3:$F$15,3,FALSE)</f>
        <v>Erika Souza Aguiar</v>
      </c>
      <c r="K7" s="17">
        <f>VLOOKUP(H7,$B$3:$F$15,4,FALSE)</f>
        <v>20</v>
      </c>
      <c r="L7" s="19">
        <f>VLOOKUP(H7,$B$3:$F$15,5,FALSE)</f>
        <v>5000</v>
      </c>
    </row>
    <row r="8" spans="2:12" ht="18.45" x14ac:dyDescent="0.5">
      <c r="B8" s="12" t="s">
        <v>88</v>
      </c>
      <c r="C8" s="12" t="s">
        <v>68</v>
      </c>
      <c r="D8" s="12" t="s">
        <v>69</v>
      </c>
      <c r="E8" s="15">
        <v>34</v>
      </c>
      <c r="F8" s="13">
        <v>2000</v>
      </c>
    </row>
    <row r="9" spans="2:12" ht="18.45" x14ac:dyDescent="0.5">
      <c r="B9" s="12" t="s">
        <v>89</v>
      </c>
      <c r="C9" s="12" t="s">
        <v>70</v>
      </c>
      <c r="D9" s="12" t="s">
        <v>71</v>
      </c>
      <c r="E9" s="15">
        <v>22</v>
      </c>
      <c r="F9" s="13">
        <v>2000</v>
      </c>
    </row>
    <row r="10" spans="2:12" ht="18.45" x14ac:dyDescent="0.5">
      <c r="B10" s="12" t="s">
        <v>84</v>
      </c>
      <c r="C10" s="12" t="s">
        <v>72</v>
      </c>
      <c r="D10" s="12" t="s">
        <v>73</v>
      </c>
      <c r="E10" s="15">
        <v>45</v>
      </c>
      <c r="F10" s="13">
        <v>2000</v>
      </c>
    </row>
    <row r="11" spans="2:12" ht="18.45" x14ac:dyDescent="0.5">
      <c r="B11" s="12" t="s">
        <v>90</v>
      </c>
      <c r="C11" s="12" t="s">
        <v>74</v>
      </c>
      <c r="D11" s="12" t="s">
        <v>75</v>
      </c>
      <c r="E11" s="15">
        <v>33</v>
      </c>
      <c r="F11" s="13">
        <v>5000</v>
      </c>
    </row>
    <row r="12" spans="2:12" ht="18.45" x14ac:dyDescent="0.5">
      <c r="B12" s="12" t="s">
        <v>85</v>
      </c>
      <c r="C12" s="12" t="s">
        <v>62</v>
      </c>
      <c r="D12" s="12" t="s">
        <v>76</v>
      </c>
      <c r="E12" s="15">
        <v>20</v>
      </c>
      <c r="F12" s="13">
        <v>5000</v>
      </c>
    </row>
    <row r="13" spans="2:12" ht="18.45" x14ac:dyDescent="0.5">
      <c r="B13" s="12" t="s">
        <v>91</v>
      </c>
      <c r="C13" s="12" t="s">
        <v>62</v>
      </c>
      <c r="D13" s="12" t="s">
        <v>77</v>
      </c>
      <c r="E13" s="15">
        <v>19</v>
      </c>
      <c r="F13" s="13">
        <v>5000</v>
      </c>
    </row>
    <row r="14" spans="2:12" ht="18.45" x14ac:dyDescent="0.5">
      <c r="B14" s="12" t="s">
        <v>92</v>
      </c>
      <c r="C14" s="12" t="s">
        <v>78</v>
      </c>
      <c r="D14" s="12" t="s">
        <v>79</v>
      </c>
      <c r="E14" s="15">
        <v>29</v>
      </c>
      <c r="F14" s="13">
        <v>4000</v>
      </c>
    </row>
    <row r="15" spans="2:12" ht="18.45" x14ac:dyDescent="0.5">
      <c r="B15" s="12" t="s">
        <v>93</v>
      </c>
      <c r="C15" s="12" t="s">
        <v>64</v>
      </c>
      <c r="D15" s="12" t="s">
        <v>80</v>
      </c>
      <c r="E15" s="15">
        <v>34</v>
      </c>
      <c r="F15" s="13">
        <v>4000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D790D-9EA0-496A-87C1-FE72D81FD435}">
  <sheetPr codeName="Planilha9"/>
  <dimension ref="B2:V115"/>
  <sheetViews>
    <sheetView workbookViewId="0">
      <selection activeCell="H23" sqref="H23"/>
    </sheetView>
  </sheetViews>
  <sheetFormatPr defaultRowHeight="14.6" x14ac:dyDescent="0.4"/>
  <cols>
    <col min="1" max="1" width="4.3046875" customWidth="1"/>
    <col min="2" max="2" width="28.921875" bestFit="1" customWidth="1"/>
    <col min="3" max="3" width="21.53515625" bestFit="1" customWidth="1"/>
    <col min="4" max="4" width="18.8437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26.69140625" bestFit="1" customWidth="1"/>
    <col min="11" max="11" width="17.3046875" bestFit="1" customWidth="1"/>
    <col min="12" max="12" width="6.765625" bestFit="1" customWidth="1"/>
    <col min="13" max="13" width="11.61328125" bestFit="1" customWidth="1"/>
    <col min="14" max="14" width="21.53515625" bestFit="1" customWidth="1"/>
    <col min="15" max="15" width="15" bestFit="1" customWidth="1"/>
    <col min="16" max="16" width="20.23046875" bestFit="1" customWidth="1"/>
    <col min="17" max="17" width="12.23046875" bestFit="1" customWidth="1"/>
    <col min="18" max="18" width="11.07421875" bestFit="1" customWidth="1"/>
    <col min="19" max="20" width="11.3828125" bestFit="1" customWidth="1"/>
    <col min="21" max="21" width="11.53515625" bestFit="1" customWidth="1"/>
    <col min="22" max="22" width="17.3046875" bestFit="1" customWidth="1"/>
  </cols>
  <sheetData>
    <row r="2" spans="2:10" x14ac:dyDescent="0.4">
      <c r="B2" t="s">
        <v>184</v>
      </c>
    </row>
    <row r="3" spans="2:10" x14ac:dyDescent="0.4">
      <c r="B3" s="23" t="s">
        <v>97</v>
      </c>
      <c r="C3" s="23" t="s">
        <v>94</v>
      </c>
      <c r="D3" s="23" t="s">
        <v>95</v>
      </c>
      <c r="E3" s="24" t="s">
        <v>96</v>
      </c>
      <c r="G3" s="23" t="s">
        <v>97</v>
      </c>
      <c r="H3" s="24" t="s">
        <v>96</v>
      </c>
      <c r="I3" s="23" t="s">
        <v>94</v>
      </c>
      <c r="J3" s="23" t="s">
        <v>95</v>
      </c>
    </row>
    <row r="4" spans="2:10" x14ac:dyDescent="0.4">
      <c r="B4" s="25" t="s">
        <v>99</v>
      </c>
      <c r="C4" s="25" t="str">
        <f>VLOOKUP(B4,G3:J18,3,0)</f>
        <v>Feminino</v>
      </c>
      <c r="D4" s="25" t="s">
        <v>98</v>
      </c>
      <c r="E4" s="26" cm="1">
        <f t="array" ref="E4">INDEX($G$3:$J$18, MATCH(B4&amp;C4&amp;D4,$G$3:$G$18&amp;$I$3:$I$18&amp;$J$3:$J$18, 0), 2)</f>
        <v>69</v>
      </c>
      <c r="F4" s="21"/>
      <c r="G4" s="25" t="s">
        <v>99</v>
      </c>
      <c r="H4" s="1">
        <v>89</v>
      </c>
      <c r="I4" s="25" t="s">
        <v>100</v>
      </c>
      <c r="J4" s="25" t="s">
        <v>101</v>
      </c>
    </row>
    <row r="5" spans="2:10" x14ac:dyDescent="0.4">
      <c r="B5" s="25" t="s">
        <v>105</v>
      </c>
      <c r="C5" s="25" t="str">
        <f t="shared" ref="C5:C7" si="0">VLOOKUP(B5,G4:J19,3,0)</f>
        <v>Feminino</v>
      </c>
      <c r="D5" s="25" t="s">
        <v>102</v>
      </c>
      <c r="E5" s="26" cm="1">
        <f t="array" ref="E5">INDEX($G$3:$J$18, MATCH(B5&amp;C5&amp;D5,$G$3:$G$18&amp;$I$3:$I$18&amp;$J$3:$J$18, 0), 2)</f>
        <v>59</v>
      </c>
      <c r="G5" s="25" t="s">
        <v>99</v>
      </c>
      <c r="H5" s="1">
        <v>69</v>
      </c>
      <c r="I5" s="25" t="s">
        <v>100</v>
      </c>
      <c r="J5" s="25" t="s">
        <v>98</v>
      </c>
    </row>
    <row r="6" spans="2:10" x14ac:dyDescent="0.4">
      <c r="B6" s="25" t="s">
        <v>1</v>
      </c>
      <c r="C6" s="25" t="str">
        <f t="shared" si="0"/>
        <v>Masculino</v>
      </c>
      <c r="D6" s="25" t="s">
        <v>103</v>
      </c>
      <c r="E6" s="26" cm="1">
        <f t="array" ref="E6">INDEX($G$3:$J$18, MATCH(B6&amp;C6&amp;D6,$G$3:$G$18&amp;$I$3:$I$18&amp;$J$3:$J$18, 0), 2)</f>
        <v>153</v>
      </c>
      <c r="F6" s="21"/>
      <c r="G6" s="25" t="s">
        <v>1</v>
      </c>
      <c r="H6" s="1">
        <v>153</v>
      </c>
      <c r="I6" s="25" t="s">
        <v>104</v>
      </c>
      <c r="J6" s="25" t="s">
        <v>103</v>
      </c>
    </row>
    <row r="7" spans="2:10" x14ac:dyDescent="0.4">
      <c r="B7" s="25" t="s">
        <v>99</v>
      </c>
      <c r="C7" s="25" t="str">
        <f t="shared" si="0"/>
        <v>Feminino</v>
      </c>
      <c r="D7" s="25" t="s">
        <v>101</v>
      </c>
      <c r="E7" s="26" cm="1">
        <f t="array" ref="E7">INDEX($G$3:$J$18, MATCH(B7&amp;C7&amp;D7,$G$3:$G$18&amp;$I$3:$I$18&amp;$J$3:$J$18, 0), 2)</f>
        <v>89</v>
      </c>
      <c r="G7" s="25" t="s">
        <v>105</v>
      </c>
      <c r="H7" s="1">
        <v>148</v>
      </c>
      <c r="I7" s="25" t="s">
        <v>100</v>
      </c>
      <c r="J7" s="25" t="s">
        <v>106</v>
      </c>
    </row>
    <row r="8" spans="2:10" x14ac:dyDescent="0.4">
      <c r="D8" s="22"/>
      <c r="E8" s="22"/>
      <c r="F8" s="21"/>
      <c r="G8" s="25" t="s">
        <v>99</v>
      </c>
      <c r="H8" s="1">
        <v>146</v>
      </c>
      <c r="I8" s="25" t="s">
        <v>100</v>
      </c>
      <c r="J8" s="25" t="s">
        <v>107</v>
      </c>
    </row>
    <row r="9" spans="2:10" x14ac:dyDescent="0.4">
      <c r="G9" s="25" t="s">
        <v>105</v>
      </c>
      <c r="H9" s="1">
        <v>224</v>
      </c>
      <c r="I9" s="25" t="s">
        <v>100</v>
      </c>
      <c r="J9" s="25" t="s">
        <v>108</v>
      </c>
    </row>
    <row r="10" spans="2:10" x14ac:dyDescent="0.4">
      <c r="G10" s="25" t="s">
        <v>1</v>
      </c>
      <c r="H10" s="1">
        <v>150</v>
      </c>
      <c r="I10" s="25" t="s">
        <v>104</v>
      </c>
      <c r="J10" s="25" t="s">
        <v>109</v>
      </c>
    </row>
    <row r="11" spans="2:10" x14ac:dyDescent="0.4">
      <c r="D11" s="22"/>
      <c r="G11" s="25" t="s">
        <v>99</v>
      </c>
      <c r="H11" s="1">
        <v>248</v>
      </c>
      <c r="I11" s="25" t="s">
        <v>100</v>
      </c>
      <c r="J11" s="25" t="s">
        <v>110</v>
      </c>
    </row>
    <row r="12" spans="2:10" x14ac:dyDescent="0.4">
      <c r="D12" s="22"/>
      <c r="G12" s="25" t="s">
        <v>99</v>
      </c>
      <c r="H12" s="1">
        <v>116</v>
      </c>
      <c r="I12" s="25" t="s">
        <v>100</v>
      </c>
      <c r="J12" s="25" t="s">
        <v>111</v>
      </c>
    </row>
    <row r="13" spans="2:10" x14ac:dyDescent="0.4">
      <c r="D13" s="22"/>
      <c r="G13" s="25" t="s">
        <v>105</v>
      </c>
      <c r="H13" s="1">
        <v>59</v>
      </c>
      <c r="I13" s="25" t="s">
        <v>100</v>
      </c>
      <c r="J13" s="25" t="s">
        <v>102</v>
      </c>
    </row>
    <row r="14" spans="2:10" x14ac:dyDescent="0.4">
      <c r="D14" s="22"/>
      <c r="G14" s="25" t="s">
        <v>1</v>
      </c>
      <c r="H14" s="1">
        <v>46</v>
      </c>
      <c r="I14" s="25" t="s">
        <v>104</v>
      </c>
      <c r="J14" s="25" t="s">
        <v>112</v>
      </c>
    </row>
    <row r="15" spans="2:10" x14ac:dyDescent="0.4">
      <c r="D15" s="22"/>
      <c r="G15" s="25" t="s">
        <v>99</v>
      </c>
      <c r="H15" s="1">
        <v>41</v>
      </c>
      <c r="I15" s="25" t="s">
        <v>100</v>
      </c>
      <c r="J15" s="25" t="s">
        <v>113</v>
      </c>
    </row>
    <row r="16" spans="2:10" x14ac:dyDescent="0.4">
      <c r="D16" s="22"/>
      <c r="G16" s="25" t="s">
        <v>99</v>
      </c>
      <c r="H16" s="1">
        <v>81</v>
      </c>
      <c r="I16" s="25" t="s">
        <v>100</v>
      </c>
      <c r="J16" s="25" t="s">
        <v>103</v>
      </c>
    </row>
    <row r="17" spans="2:16" x14ac:dyDescent="0.4">
      <c r="D17" s="22"/>
      <c r="G17" s="25" t="s">
        <v>105</v>
      </c>
      <c r="H17" s="1">
        <v>55</v>
      </c>
      <c r="I17" s="25" t="s">
        <v>100</v>
      </c>
      <c r="J17" s="25" t="s">
        <v>114</v>
      </c>
    </row>
    <row r="18" spans="2:16" x14ac:dyDescent="0.4">
      <c r="D18" s="22"/>
      <c r="G18" s="25" t="s">
        <v>1</v>
      </c>
      <c r="H18" s="1">
        <v>89</v>
      </c>
      <c r="I18" s="25" t="s">
        <v>104</v>
      </c>
      <c r="J18" s="25" t="s">
        <v>115</v>
      </c>
    </row>
    <row r="19" spans="2:16" x14ac:dyDescent="0.4">
      <c r="D19" s="22"/>
      <c r="H19" s="22"/>
      <c r="I19" s="22"/>
    </row>
    <row r="20" spans="2:16" x14ac:dyDescent="0.4">
      <c r="D20" s="22"/>
      <c r="H20" s="22"/>
    </row>
    <row r="21" spans="2:16" x14ac:dyDescent="0.4">
      <c r="B21" t="s">
        <v>182</v>
      </c>
      <c r="D21" s="22"/>
      <c r="H21" s="22"/>
    </row>
    <row r="22" spans="2:16" x14ac:dyDescent="0.4">
      <c r="B22" s="23" t="s">
        <v>117</v>
      </c>
      <c r="C22" s="24" t="s">
        <v>57</v>
      </c>
      <c r="D22" s="23" t="s">
        <v>28</v>
      </c>
      <c r="E22" s="23" t="s">
        <v>58</v>
      </c>
      <c r="F22" s="23" t="s">
        <v>94</v>
      </c>
      <c r="G22" s="23" t="s">
        <v>116</v>
      </c>
      <c r="H22" s="23" t="s">
        <v>59</v>
      </c>
      <c r="J22" s="23" t="s">
        <v>117</v>
      </c>
      <c r="K22" s="24" t="s">
        <v>57</v>
      </c>
      <c r="L22" s="23" t="s">
        <v>28</v>
      </c>
      <c r="M22" s="23" t="s">
        <v>58</v>
      </c>
      <c r="N22" s="23" t="s">
        <v>94</v>
      </c>
      <c r="O22" s="23" t="s">
        <v>116</v>
      </c>
      <c r="P22" s="23" t="s">
        <v>59</v>
      </c>
    </row>
    <row r="23" spans="2:16" x14ac:dyDescent="0.4">
      <c r="B23" s="25" t="s">
        <v>126</v>
      </c>
      <c r="C23" s="25" t="s">
        <v>62</v>
      </c>
      <c r="D23" s="25" t="s">
        <v>118</v>
      </c>
      <c r="E23" s="25">
        <v>28</v>
      </c>
      <c r="F23" s="25" t="s">
        <v>119</v>
      </c>
      <c r="G23" s="25" t="s">
        <v>120</v>
      </c>
      <c r="H23" s="27" cm="1">
        <f t="array" ref="H23">INDEX($J$22:$P$32, MATCH(B23&amp;C23&amp;D23&amp;E23&amp;F23&amp;G23,$J$22:$J$32&amp;$K$22:$K$32&amp;$L$22:$L$32&amp;$M$22:$M$32&amp;$N$22:$N$32&amp;$O$22:$O$32, 0), 7)</f>
        <v>59865</v>
      </c>
      <c r="J23" s="25" t="s">
        <v>121</v>
      </c>
      <c r="K23" s="25" t="s">
        <v>60</v>
      </c>
      <c r="L23" s="25" t="s">
        <v>2</v>
      </c>
      <c r="M23" s="25">
        <v>35</v>
      </c>
      <c r="N23" s="25" t="s">
        <v>122</v>
      </c>
      <c r="O23" s="25" t="s">
        <v>123</v>
      </c>
      <c r="P23" s="27">
        <v>17238</v>
      </c>
    </row>
    <row r="24" spans="2:16" x14ac:dyDescent="0.4">
      <c r="B24" s="25" t="s">
        <v>135</v>
      </c>
      <c r="C24" s="25" t="s">
        <v>72</v>
      </c>
      <c r="D24" s="25" t="s">
        <v>124</v>
      </c>
      <c r="E24" s="25">
        <v>33</v>
      </c>
      <c r="F24" s="25" t="s">
        <v>119</v>
      </c>
      <c r="G24" s="25" t="s">
        <v>125</v>
      </c>
      <c r="H24" s="27" cm="1">
        <f t="array" ref="H24">INDEX($J$22:$P$32, MATCH(B24&amp;C24&amp;D24&amp;E24&amp;F24&amp;G24,$J$22:$J$32&amp;$K$22:$K$32&amp;$L$22:$L$32&amp;$M$22:$M$32&amp;$N$22:$N$32&amp;$O$22:$O$32, 0), 7)</f>
        <v>32665</v>
      </c>
      <c r="J24" s="25" t="s">
        <v>126</v>
      </c>
      <c r="K24" s="25" t="s">
        <v>62</v>
      </c>
      <c r="L24" s="25" t="s">
        <v>118</v>
      </c>
      <c r="M24" s="25">
        <v>28</v>
      </c>
      <c r="N24" s="25" t="s">
        <v>119</v>
      </c>
      <c r="O24" s="25" t="s">
        <v>120</v>
      </c>
      <c r="P24" s="27">
        <v>59865</v>
      </c>
    </row>
    <row r="25" spans="2:16" x14ac:dyDescent="0.4">
      <c r="B25" s="25" t="s">
        <v>146</v>
      </c>
      <c r="C25" s="25" t="s">
        <v>127</v>
      </c>
      <c r="D25" s="25" t="s">
        <v>128</v>
      </c>
      <c r="E25" s="25">
        <v>36</v>
      </c>
      <c r="F25" s="25" t="s">
        <v>119</v>
      </c>
      <c r="G25" s="25" t="s">
        <v>129</v>
      </c>
      <c r="H25" s="27" cm="1">
        <f t="array" ref="H25">INDEX($J$22:$P$32, MATCH(B25&amp;C25&amp;D25&amp;E25&amp;F25&amp;G25,$J$22:$J$32&amp;$K$22:$K$32&amp;$L$22:$L$32&amp;$M$22:$M$32&amp;$N$22:$N$32&amp;$O$22:$O$32, 0), 7)</f>
        <v>52894</v>
      </c>
      <c r="J25" s="25" t="s">
        <v>130</v>
      </c>
      <c r="K25" s="25" t="s">
        <v>64</v>
      </c>
      <c r="L25" s="25" t="s">
        <v>1</v>
      </c>
      <c r="M25" s="25">
        <v>45</v>
      </c>
      <c r="N25" s="25" t="s">
        <v>122</v>
      </c>
      <c r="O25" s="25" t="s">
        <v>131</v>
      </c>
      <c r="P25" s="27">
        <v>10251</v>
      </c>
    </row>
    <row r="26" spans="2:16" x14ac:dyDescent="0.4">
      <c r="D26" s="22"/>
      <c r="H26" s="22"/>
      <c r="J26" s="25" t="s">
        <v>132</v>
      </c>
      <c r="K26" s="25" t="s">
        <v>68</v>
      </c>
      <c r="L26" s="25" t="s">
        <v>99</v>
      </c>
      <c r="M26" s="25">
        <v>38</v>
      </c>
      <c r="N26" s="25" t="s">
        <v>119</v>
      </c>
      <c r="O26" s="25" t="s">
        <v>133</v>
      </c>
      <c r="P26" s="27">
        <v>12597</v>
      </c>
    </row>
    <row r="27" spans="2:16" x14ac:dyDescent="0.4">
      <c r="D27" s="22"/>
      <c r="H27" s="22"/>
      <c r="J27" s="25" t="s">
        <v>130</v>
      </c>
      <c r="K27" s="25" t="s">
        <v>64</v>
      </c>
      <c r="L27" s="25" t="s">
        <v>1</v>
      </c>
      <c r="M27" s="25">
        <v>45</v>
      </c>
      <c r="N27" s="25" t="s">
        <v>122</v>
      </c>
      <c r="O27" s="25" t="s">
        <v>134</v>
      </c>
      <c r="P27" s="27">
        <v>12000</v>
      </c>
    </row>
    <row r="28" spans="2:16" x14ac:dyDescent="0.4">
      <c r="D28" s="22"/>
      <c r="H28" s="22"/>
      <c r="J28" s="25" t="s">
        <v>135</v>
      </c>
      <c r="K28" s="25" t="s">
        <v>72</v>
      </c>
      <c r="L28" s="25" t="s">
        <v>124</v>
      </c>
      <c r="M28" s="25">
        <v>33</v>
      </c>
      <c r="N28" s="25" t="s">
        <v>119</v>
      </c>
      <c r="O28" s="25" t="s">
        <v>125</v>
      </c>
      <c r="P28" s="27">
        <v>32665</v>
      </c>
    </row>
    <row r="29" spans="2:16" x14ac:dyDescent="0.4">
      <c r="D29" s="22"/>
      <c r="H29" s="22"/>
      <c r="J29" s="25" t="s">
        <v>136</v>
      </c>
      <c r="K29" s="25" t="s">
        <v>137</v>
      </c>
      <c r="L29" s="25" t="s">
        <v>138</v>
      </c>
      <c r="M29" s="25">
        <v>40</v>
      </c>
      <c r="N29" s="25" t="s">
        <v>122</v>
      </c>
      <c r="O29" s="25" t="s">
        <v>139</v>
      </c>
      <c r="P29" s="27">
        <v>99206</v>
      </c>
    </row>
    <row r="30" spans="2:16" x14ac:dyDescent="0.4">
      <c r="D30" s="22"/>
      <c r="H30" s="22"/>
      <c r="J30" s="25" t="s">
        <v>140</v>
      </c>
      <c r="K30" s="25" t="s">
        <v>70</v>
      </c>
      <c r="L30" s="25" t="s">
        <v>141</v>
      </c>
      <c r="M30" s="25">
        <v>31</v>
      </c>
      <c r="N30" s="25" t="s">
        <v>119</v>
      </c>
      <c r="O30" s="25" t="s">
        <v>142</v>
      </c>
      <c r="P30" s="27">
        <v>57996</v>
      </c>
    </row>
    <row r="31" spans="2:16" x14ac:dyDescent="0.4">
      <c r="D31" s="22"/>
      <c r="H31" s="22"/>
      <c r="J31" s="25" t="s">
        <v>143</v>
      </c>
      <c r="K31" s="25" t="s">
        <v>74</v>
      </c>
      <c r="L31" s="25" t="s">
        <v>144</v>
      </c>
      <c r="M31" s="25">
        <v>27</v>
      </c>
      <c r="N31" s="25" t="s">
        <v>122</v>
      </c>
      <c r="O31" s="25" t="s">
        <v>145</v>
      </c>
      <c r="P31" s="27">
        <v>58835</v>
      </c>
    </row>
    <row r="32" spans="2:16" x14ac:dyDescent="0.4">
      <c r="D32" s="22"/>
      <c r="H32" s="22"/>
      <c r="J32" s="25" t="s">
        <v>146</v>
      </c>
      <c r="K32" s="25" t="s">
        <v>127</v>
      </c>
      <c r="L32" s="25" t="s">
        <v>128</v>
      </c>
      <c r="M32" s="25">
        <v>36</v>
      </c>
      <c r="N32" s="25" t="s">
        <v>119</v>
      </c>
      <c r="O32" s="25" t="s">
        <v>129</v>
      </c>
      <c r="P32" s="27">
        <v>52894</v>
      </c>
    </row>
    <row r="33" spans="2:22" x14ac:dyDescent="0.4">
      <c r="D33" s="22"/>
      <c r="H33" s="22"/>
    </row>
    <row r="34" spans="2:22" x14ac:dyDescent="0.4">
      <c r="D34" s="22"/>
      <c r="H34" s="22"/>
    </row>
    <row r="35" spans="2:22" x14ac:dyDescent="0.4">
      <c r="D35" s="22"/>
      <c r="H35" s="22"/>
    </row>
    <row r="36" spans="2:22" x14ac:dyDescent="0.4">
      <c r="B36" t="s">
        <v>183</v>
      </c>
      <c r="D36" s="22"/>
      <c r="H36" s="22"/>
    </row>
    <row r="37" spans="2:22" x14ac:dyDescent="0.4">
      <c r="B37" s="23" t="s">
        <v>156</v>
      </c>
      <c r="C37" s="23" t="s">
        <v>147</v>
      </c>
      <c r="D37" s="23" t="s">
        <v>148</v>
      </c>
      <c r="E37" s="23" t="s">
        <v>149</v>
      </c>
      <c r="F37" s="23" t="s">
        <v>150</v>
      </c>
      <c r="G37" s="23" t="s">
        <v>151</v>
      </c>
      <c r="H37" s="23" t="s">
        <v>152</v>
      </c>
      <c r="I37" s="23" t="s">
        <v>153</v>
      </c>
      <c r="J37" s="23" t="s">
        <v>154</v>
      </c>
      <c r="K37" s="23" t="s">
        <v>155</v>
      </c>
      <c r="M37" s="23" t="s">
        <v>156</v>
      </c>
      <c r="N37" s="23" t="s">
        <v>147</v>
      </c>
      <c r="O37" s="23" t="s">
        <v>148</v>
      </c>
      <c r="P37" s="23" t="s">
        <v>149</v>
      </c>
      <c r="Q37" s="23" t="s">
        <v>150</v>
      </c>
      <c r="R37" s="23" t="s">
        <v>151</v>
      </c>
      <c r="S37" s="23" t="s">
        <v>152</v>
      </c>
      <c r="T37" s="23" t="s">
        <v>153</v>
      </c>
      <c r="U37" s="23" t="s">
        <v>154</v>
      </c>
      <c r="V37" s="23" t="s">
        <v>155</v>
      </c>
    </row>
    <row r="38" spans="2:22" x14ac:dyDescent="0.4">
      <c r="B38" s="25">
        <v>3</v>
      </c>
      <c r="C38" s="25" t="s">
        <v>157</v>
      </c>
      <c r="D38" s="25" t="s">
        <v>158</v>
      </c>
      <c r="E38" s="25">
        <v>15</v>
      </c>
      <c r="F38" s="25" t="s">
        <v>159</v>
      </c>
      <c r="G38" s="25" t="s">
        <v>160</v>
      </c>
      <c r="H38" s="28" t="s">
        <v>161</v>
      </c>
      <c r="I38" s="25" t="s">
        <v>162</v>
      </c>
      <c r="J38" s="25" t="s">
        <v>163</v>
      </c>
      <c r="K38" s="29" t="str" cm="1">
        <f t="array" ref="K38">INDEX($M$37:$V$42, MATCH(B38&amp;C38&amp;D38&amp;E38&amp;F38&amp;G38&amp;H38&amp;I38&amp;J38,$M$37:$M$42&amp;$N$37:$N$42&amp;$O$37:$O$42&amp;$P$37:$P$42&amp;$Q$37:$Q$42&amp;$R$37:$R$42&amp;$S$37:$S$42&amp;$T$37:$T$42&amp;$U$37:$U$42, 0), 10)</f>
        <v>4.3</v>
      </c>
      <c r="M38" s="25">
        <v>1</v>
      </c>
      <c r="N38" s="25" t="s">
        <v>164</v>
      </c>
      <c r="O38" s="25" t="s">
        <v>165</v>
      </c>
      <c r="P38" s="25">
        <v>20</v>
      </c>
      <c r="Q38" s="25" t="s">
        <v>166</v>
      </c>
      <c r="R38" s="25" t="s">
        <v>167</v>
      </c>
      <c r="S38" s="28" t="s">
        <v>161</v>
      </c>
      <c r="T38" s="25" t="s">
        <v>162</v>
      </c>
      <c r="U38" s="25" t="s">
        <v>163</v>
      </c>
      <c r="V38" s="25" t="s">
        <v>168</v>
      </c>
    </row>
    <row r="39" spans="2:22" x14ac:dyDescent="0.4">
      <c r="B39" s="25">
        <v>5</v>
      </c>
      <c r="C39" s="25" t="s">
        <v>169</v>
      </c>
      <c r="D39" s="25" t="s">
        <v>170</v>
      </c>
      <c r="E39" s="25">
        <v>40</v>
      </c>
      <c r="F39" s="25" t="s">
        <v>171</v>
      </c>
      <c r="G39" s="25" t="s">
        <v>172</v>
      </c>
      <c r="H39" s="28" t="s">
        <v>161</v>
      </c>
      <c r="I39" s="25" t="s">
        <v>162</v>
      </c>
      <c r="J39" s="25" t="s">
        <v>163</v>
      </c>
      <c r="K39" s="29" t="str" cm="1">
        <f t="array" ref="K39">INDEX($M$37:$V$42, MATCH(B39&amp;C39&amp;D39&amp;E39&amp;F39&amp;G39&amp;H39&amp;I39&amp;J39,$M$37:$M$42&amp;$N$37:$N$42&amp;$O$37:$O$42&amp;$P$37:$P$42&amp;$Q$37:$Q$42&amp;$R$37:$R$42&amp;$S$37:$S$42&amp;$T$37:$T$42&amp;$U$37:$U$42, 0), 10)</f>
        <v>4.6</v>
      </c>
      <c r="M39" s="25">
        <v>2</v>
      </c>
      <c r="N39" s="25" t="s">
        <v>173</v>
      </c>
      <c r="O39" s="25" t="s">
        <v>165</v>
      </c>
      <c r="P39" s="25">
        <v>35</v>
      </c>
      <c r="Q39" s="25" t="s">
        <v>174</v>
      </c>
      <c r="R39" s="25" t="s">
        <v>175</v>
      </c>
      <c r="S39" s="28" t="s">
        <v>161</v>
      </c>
      <c r="T39" s="25" t="s">
        <v>162</v>
      </c>
      <c r="U39" s="25" t="s">
        <v>163</v>
      </c>
      <c r="V39" s="25" t="s">
        <v>176</v>
      </c>
    </row>
    <row r="40" spans="2:22" x14ac:dyDescent="0.4">
      <c r="D40" s="22"/>
      <c r="H40" s="22"/>
      <c r="K40" s="21"/>
      <c r="M40" s="25">
        <v>3</v>
      </c>
      <c r="N40" s="25" t="s">
        <v>157</v>
      </c>
      <c r="O40" s="25" t="s">
        <v>158</v>
      </c>
      <c r="P40" s="25">
        <v>15</v>
      </c>
      <c r="Q40" s="25" t="s">
        <v>159</v>
      </c>
      <c r="R40" s="25" t="s">
        <v>160</v>
      </c>
      <c r="S40" s="28" t="s">
        <v>161</v>
      </c>
      <c r="T40" s="25" t="s">
        <v>162</v>
      </c>
      <c r="U40" s="25" t="s">
        <v>163</v>
      </c>
      <c r="V40" s="25" t="s">
        <v>177</v>
      </c>
    </row>
    <row r="41" spans="2:22" x14ac:dyDescent="0.4">
      <c r="D41" s="22"/>
      <c r="H41" s="22"/>
      <c r="K41" s="21"/>
      <c r="M41" s="25">
        <v>4</v>
      </c>
      <c r="N41" s="25" t="s">
        <v>178</v>
      </c>
      <c r="O41" s="25" t="s">
        <v>170</v>
      </c>
      <c r="P41" s="25">
        <v>50</v>
      </c>
      <c r="Q41" s="25" t="s">
        <v>179</v>
      </c>
      <c r="R41" s="25" t="s">
        <v>167</v>
      </c>
      <c r="S41" s="28" t="s">
        <v>161</v>
      </c>
      <c r="T41" s="25" t="s">
        <v>162</v>
      </c>
      <c r="U41" s="25" t="s">
        <v>163</v>
      </c>
      <c r="V41" s="25" t="s">
        <v>180</v>
      </c>
    </row>
    <row r="42" spans="2:22" x14ac:dyDescent="0.4">
      <c r="D42" s="22"/>
      <c r="H42" s="22"/>
      <c r="K42" s="21"/>
      <c r="M42" s="25">
        <v>5</v>
      </c>
      <c r="N42" s="25" t="s">
        <v>169</v>
      </c>
      <c r="O42" s="25" t="s">
        <v>170</v>
      </c>
      <c r="P42" s="25">
        <v>40</v>
      </c>
      <c r="Q42" s="25" t="s">
        <v>171</v>
      </c>
      <c r="R42" s="25" t="s">
        <v>172</v>
      </c>
      <c r="S42" s="28" t="s">
        <v>161</v>
      </c>
      <c r="T42" s="25" t="s">
        <v>162</v>
      </c>
      <c r="U42" s="25" t="s">
        <v>163</v>
      </c>
      <c r="V42" s="25" t="s">
        <v>181</v>
      </c>
    </row>
    <row r="43" spans="2:22" x14ac:dyDescent="0.4">
      <c r="C43" s="22"/>
      <c r="G43" s="22"/>
    </row>
    <row r="44" spans="2:22" x14ac:dyDescent="0.4">
      <c r="C44" s="22"/>
      <c r="G44" s="22"/>
    </row>
    <row r="45" spans="2:22" x14ac:dyDescent="0.4">
      <c r="C45" s="22"/>
      <c r="G45" s="22"/>
    </row>
    <row r="46" spans="2:22" x14ac:dyDescent="0.4">
      <c r="C46" s="22"/>
      <c r="G46" s="22"/>
    </row>
    <row r="47" spans="2:22" x14ac:dyDescent="0.4">
      <c r="C47" s="22"/>
      <c r="G47" s="22"/>
    </row>
    <row r="48" spans="2:22" x14ac:dyDescent="0.4">
      <c r="C48" s="22"/>
      <c r="G48" s="22"/>
    </row>
    <row r="49" spans="3:7" x14ac:dyDescent="0.4">
      <c r="C49" s="22"/>
      <c r="G49" s="22"/>
    </row>
    <row r="50" spans="3:7" x14ac:dyDescent="0.4">
      <c r="C50" s="22"/>
      <c r="G50" s="22"/>
    </row>
    <row r="51" spans="3:7" x14ac:dyDescent="0.4">
      <c r="C51" s="22"/>
      <c r="G51" s="22"/>
    </row>
    <row r="52" spans="3:7" x14ac:dyDescent="0.4">
      <c r="C52" s="22"/>
      <c r="G52" s="22"/>
    </row>
    <row r="53" spans="3:7" x14ac:dyDescent="0.4">
      <c r="C53" s="22"/>
      <c r="G53" s="22"/>
    </row>
    <row r="54" spans="3:7" x14ac:dyDescent="0.4">
      <c r="C54" s="22"/>
      <c r="G54" s="22"/>
    </row>
    <row r="55" spans="3:7" x14ac:dyDescent="0.4">
      <c r="C55" s="22"/>
      <c r="G55" s="22"/>
    </row>
    <row r="56" spans="3:7" x14ac:dyDescent="0.4">
      <c r="C56" s="22"/>
      <c r="G56" s="22"/>
    </row>
    <row r="57" spans="3:7" x14ac:dyDescent="0.4">
      <c r="C57" s="22"/>
      <c r="G57" s="22"/>
    </row>
    <row r="58" spans="3:7" x14ac:dyDescent="0.4">
      <c r="C58" s="22"/>
      <c r="G58" s="22"/>
    </row>
    <row r="59" spans="3:7" x14ac:dyDescent="0.4">
      <c r="C59" s="22"/>
      <c r="G59" s="22"/>
    </row>
    <row r="60" spans="3:7" x14ac:dyDescent="0.4">
      <c r="C60" s="22"/>
      <c r="G60" s="22"/>
    </row>
    <row r="61" spans="3:7" x14ac:dyDescent="0.4">
      <c r="C61" s="22"/>
      <c r="G61" s="22"/>
    </row>
    <row r="62" spans="3:7" x14ac:dyDescent="0.4">
      <c r="C62" s="22"/>
      <c r="G62" s="22"/>
    </row>
    <row r="63" spans="3:7" x14ac:dyDescent="0.4">
      <c r="C63" s="22"/>
      <c r="G63" s="22"/>
    </row>
    <row r="64" spans="3:7" x14ac:dyDescent="0.4">
      <c r="C64" s="22"/>
      <c r="G64" s="22"/>
    </row>
    <row r="65" spans="3:7" x14ac:dyDescent="0.4">
      <c r="C65" s="22"/>
      <c r="G65" s="22"/>
    </row>
    <row r="66" spans="3:7" x14ac:dyDescent="0.4">
      <c r="C66" s="22"/>
      <c r="G66" s="22"/>
    </row>
    <row r="67" spans="3:7" x14ac:dyDescent="0.4">
      <c r="C67" s="22"/>
      <c r="G67" s="22"/>
    </row>
    <row r="68" spans="3:7" x14ac:dyDescent="0.4">
      <c r="C68" s="22"/>
      <c r="G68" s="22"/>
    </row>
    <row r="69" spans="3:7" x14ac:dyDescent="0.4">
      <c r="C69" s="22"/>
      <c r="G69" s="22"/>
    </row>
    <row r="70" spans="3:7" x14ac:dyDescent="0.4">
      <c r="C70" s="22"/>
      <c r="G70" s="22"/>
    </row>
    <row r="71" spans="3:7" x14ac:dyDescent="0.4">
      <c r="C71" s="22"/>
      <c r="G71" s="22"/>
    </row>
    <row r="72" spans="3:7" x14ac:dyDescent="0.4">
      <c r="C72" s="22"/>
      <c r="G72" s="22"/>
    </row>
    <row r="73" spans="3:7" x14ac:dyDescent="0.4">
      <c r="C73" s="22"/>
      <c r="G73" s="22"/>
    </row>
    <row r="74" spans="3:7" x14ac:dyDescent="0.4">
      <c r="C74" s="22"/>
      <c r="G74" s="22"/>
    </row>
    <row r="75" spans="3:7" x14ac:dyDescent="0.4">
      <c r="C75" s="22"/>
      <c r="G75" s="22"/>
    </row>
    <row r="76" spans="3:7" x14ac:dyDescent="0.4">
      <c r="C76" s="22"/>
      <c r="G76" s="22"/>
    </row>
    <row r="77" spans="3:7" x14ac:dyDescent="0.4">
      <c r="C77" s="22"/>
      <c r="G77" s="22"/>
    </row>
    <row r="78" spans="3:7" x14ac:dyDescent="0.4">
      <c r="C78" s="22"/>
      <c r="G78" s="22"/>
    </row>
    <row r="79" spans="3:7" x14ac:dyDescent="0.4">
      <c r="C79" s="22"/>
      <c r="G79" s="22"/>
    </row>
    <row r="80" spans="3:7" x14ac:dyDescent="0.4">
      <c r="C80" s="22"/>
      <c r="G80" s="22"/>
    </row>
    <row r="81" spans="3:7" x14ac:dyDescent="0.4">
      <c r="C81" s="22"/>
      <c r="G81" s="22"/>
    </row>
    <row r="82" spans="3:7" x14ac:dyDescent="0.4">
      <c r="C82" s="22"/>
      <c r="G82" s="22"/>
    </row>
    <row r="83" spans="3:7" x14ac:dyDescent="0.4">
      <c r="C83" s="22"/>
      <c r="G83" s="22"/>
    </row>
    <row r="84" spans="3:7" x14ac:dyDescent="0.4">
      <c r="C84" s="22"/>
      <c r="G84" s="22"/>
    </row>
    <row r="85" spans="3:7" x14ac:dyDescent="0.4">
      <c r="C85" s="22"/>
      <c r="G85" s="22"/>
    </row>
    <row r="86" spans="3:7" x14ac:dyDescent="0.4">
      <c r="C86" s="22"/>
      <c r="G86" s="22"/>
    </row>
    <row r="87" spans="3:7" x14ac:dyDescent="0.4">
      <c r="C87" s="22"/>
      <c r="G87" s="22"/>
    </row>
    <row r="88" spans="3:7" x14ac:dyDescent="0.4">
      <c r="C88" s="22"/>
      <c r="G88" s="22"/>
    </row>
    <row r="89" spans="3:7" x14ac:dyDescent="0.4">
      <c r="C89" s="22"/>
      <c r="G89" s="22"/>
    </row>
    <row r="90" spans="3:7" x14ac:dyDescent="0.4">
      <c r="C90" s="22"/>
      <c r="G90" s="22"/>
    </row>
    <row r="91" spans="3:7" x14ac:dyDescent="0.4">
      <c r="C91" s="22"/>
      <c r="G91" s="22"/>
    </row>
    <row r="92" spans="3:7" x14ac:dyDescent="0.4">
      <c r="C92" s="22"/>
      <c r="G92" s="22"/>
    </row>
    <row r="93" spans="3:7" x14ac:dyDescent="0.4">
      <c r="C93" s="22"/>
      <c r="G93" s="22"/>
    </row>
    <row r="94" spans="3:7" x14ac:dyDescent="0.4">
      <c r="C94" s="22"/>
      <c r="G94" s="22"/>
    </row>
    <row r="95" spans="3:7" x14ac:dyDescent="0.4">
      <c r="C95" s="22"/>
      <c r="G95" s="22"/>
    </row>
    <row r="96" spans="3:7" x14ac:dyDescent="0.4">
      <c r="C96" s="22"/>
      <c r="G96" s="22"/>
    </row>
    <row r="97" spans="3:7" x14ac:dyDescent="0.4">
      <c r="C97" s="22"/>
      <c r="G97" s="22"/>
    </row>
    <row r="98" spans="3:7" x14ac:dyDescent="0.4">
      <c r="C98" s="22"/>
      <c r="G98" s="22"/>
    </row>
    <row r="99" spans="3:7" x14ac:dyDescent="0.4">
      <c r="C99" s="22"/>
      <c r="G99" s="22"/>
    </row>
    <row r="100" spans="3:7" x14ac:dyDescent="0.4">
      <c r="C100" s="22"/>
      <c r="G100" s="22"/>
    </row>
    <row r="101" spans="3:7" x14ac:dyDescent="0.4">
      <c r="C101" s="22"/>
      <c r="G101" s="22"/>
    </row>
    <row r="102" spans="3:7" x14ac:dyDescent="0.4">
      <c r="C102" s="22"/>
      <c r="G102" s="22"/>
    </row>
    <row r="103" spans="3:7" x14ac:dyDescent="0.4">
      <c r="C103" s="22"/>
      <c r="G103" s="22"/>
    </row>
    <row r="104" spans="3:7" x14ac:dyDescent="0.4">
      <c r="C104" s="22"/>
      <c r="G104" s="22"/>
    </row>
    <row r="105" spans="3:7" x14ac:dyDescent="0.4">
      <c r="C105" s="22"/>
      <c r="G105" s="22"/>
    </row>
    <row r="106" spans="3:7" x14ac:dyDescent="0.4">
      <c r="C106" s="22"/>
      <c r="G106" s="22"/>
    </row>
    <row r="107" spans="3:7" x14ac:dyDescent="0.4">
      <c r="C107" s="22"/>
      <c r="G107" s="22"/>
    </row>
    <row r="108" spans="3:7" x14ac:dyDescent="0.4">
      <c r="C108" s="22"/>
      <c r="G108" s="22"/>
    </row>
    <row r="109" spans="3:7" x14ac:dyDescent="0.4">
      <c r="C109" s="22"/>
      <c r="G109" s="22"/>
    </row>
    <row r="110" spans="3:7" x14ac:dyDescent="0.4">
      <c r="C110" s="22"/>
      <c r="G110" s="22"/>
    </row>
    <row r="111" spans="3:7" x14ac:dyDescent="0.4">
      <c r="C111" s="22"/>
      <c r="G111" s="22"/>
    </row>
    <row r="112" spans="3:7" x14ac:dyDescent="0.4">
      <c r="C112" s="22"/>
      <c r="G112" s="22"/>
    </row>
    <row r="113" spans="3:7" x14ac:dyDescent="0.4">
      <c r="C113" s="22"/>
      <c r="G113" s="22"/>
    </row>
    <row r="114" spans="3:7" x14ac:dyDescent="0.4">
      <c r="C114" s="22"/>
      <c r="G114" s="22"/>
    </row>
    <row r="115" spans="3:7" x14ac:dyDescent="0.4">
      <c r="C115" s="22"/>
      <c r="G115" s="22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8106-A41D-4DD4-8A75-766DC0735DF4}">
  <sheetPr codeName="Planilha10"/>
  <dimension ref="B2:G22"/>
  <sheetViews>
    <sheetView workbookViewId="0">
      <selection activeCell="C13" sqref="C13"/>
    </sheetView>
  </sheetViews>
  <sheetFormatPr defaultRowHeight="14.6" x14ac:dyDescent="0.4"/>
  <cols>
    <col min="2" max="3" width="13.07421875" bestFit="1" customWidth="1"/>
    <col min="4" max="7" width="13.07421875" customWidth="1"/>
  </cols>
  <sheetData>
    <row r="2" spans="2:7" ht="18.45" x14ac:dyDescent="0.4">
      <c r="B2" s="30" t="s">
        <v>189</v>
      </c>
      <c r="C2" s="30" t="s">
        <v>99</v>
      </c>
      <c r="D2" s="30" t="s">
        <v>185</v>
      </c>
      <c r="E2" s="30" t="s">
        <v>186</v>
      </c>
      <c r="F2" s="30" t="s">
        <v>187</v>
      </c>
      <c r="G2" s="30" t="s">
        <v>188</v>
      </c>
    </row>
    <row r="3" spans="2:7" ht="18.45" x14ac:dyDescent="0.4">
      <c r="B3" s="31">
        <v>44586</v>
      </c>
      <c r="C3" s="32">
        <v>492</v>
      </c>
      <c r="D3" s="32">
        <v>496</v>
      </c>
      <c r="E3" s="32">
        <v>201</v>
      </c>
      <c r="F3" s="32">
        <v>491</v>
      </c>
      <c r="G3" s="32">
        <v>497</v>
      </c>
    </row>
    <row r="4" spans="2:7" ht="18.45" x14ac:dyDescent="0.4">
      <c r="B4" s="31">
        <v>44616</v>
      </c>
      <c r="C4" s="32">
        <v>255</v>
      </c>
      <c r="D4" s="32">
        <v>264</v>
      </c>
      <c r="E4" s="32">
        <v>180</v>
      </c>
      <c r="F4" s="32">
        <v>321</v>
      </c>
      <c r="G4" s="32">
        <v>214</v>
      </c>
    </row>
    <row r="5" spans="2:7" ht="18.45" x14ac:dyDescent="0.4">
      <c r="B5" s="31">
        <v>44646</v>
      </c>
      <c r="C5" s="32">
        <v>262</v>
      </c>
      <c r="D5" s="32">
        <v>432</v>
      </c>
      <c r="E5" s="32">
        <v>329</v>
      </c>
      <c r="F5" s="32">
        <v>256</v>
      </c>
      <c r="G5" s="32">
        <v>392</v>
      </c>
    </row>
    <row r="6" spans="2:7" ht="18.45" x14ac:dyDescent="0.4">
      <c r="B6" s="31">
        <v>44676</v>
      </c>
      <c r="C6" s="32">
        <v>178</v>
      </c>
      <c r="D6" s="32">
        <v>227</v>
      </c>
      <c r="E6" s="32">
        <v>322</v>
      </c>
      <c r="F6" s="32">
        <v>422</v>
      </c>
      <c r="G6" s="32">
        <v>418</v>
      </c>
    </row>
    <row r="7" spans="2:7" ht="18.45" x14ac:dyDescent="0.4">
      <c r="B7" s="31">
        <v>44706</v>
      </c>
      <c r="C7" s="32">
        <v>388</v>
      </c>
      <c r="D7" s="32">
        <v>238</v>
      </c>
      <c r="E7" s="32">
        <v>429</v>
      </c>
      <c r="F7" s="32">
        <v>101</v>
      </c>
      <c r="G7" s="32">
        <v>233</v>
      </c>
    </row>
    <row r="8" spans="2:7" ht="18.45" x14ac:dyDescent="0.4">
      <c r="B8" s="31">
        <v>44736</v>
      </c>
      <c r="C8" s="32">
        <v>458</v>
      </c>
      <c r="D8" s="32">
        <v>382</v>
      </c>
      <c r="E8" s="32">
        <v>212</v>
      </c>
      <c r="F8" s="32">
        <v>213</v>
      </c>
      <c r="G8" s="32">
        <v>328</v>
      </c>
    </row>
    <row r="9" spans="2:7" ht="18.45" x14ac:dyDescent="0.4">
      <c r="B9" s="31">
        <v>44766</v>
      </c>
      <c r="C9" s="32">
        <v>277</v>
      </c>
      <c r="D9" s="32">
        <v>456</v>
      </c>
      <c r="E9" s="32">
        <v>204</v>
      </c>
      <c r="F9" s="32">
        <v>137</v>
      </c>
      <c r="G9" s="32">
        <v>157</v>
      </c>
    </row>
    <row r="12" spans="2:7" ht="18.45" x14ac:dyDescent="0.4">
      <c r="C12" s="30" t="s">
        <v>188</v>
      </c>
      <c r="D12">
        <f>INDEX($C$3:$G$9, MATCH($C$13,$B$3:$B$9,0), MATCH($C$12,$C$2:$G$2,0))</f>
        <v>214</v>
      </c>
    </row>
    <row r="13" spans="2:7" ht="18.45" x14ac:dyDescent="0.4">
      <c r="C13" s="31">
        <v>44616</v>
      </c>
    </row>
    <row r="22" spans="3:3" x14ac:dyDescent="0.4">
      <c r="C22" s="21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C31D7-2CE5-4854-93C9-FA63CC501C5C}">
  <sheetPr codeName="Planilha11"/>
  <dimension ref="B2:K29"/>
  <sheetViews>
    <sheetView workbookViewId="0">
      <selection activeCell="E29" sqref="E29"/>
    </sheetView>
  </sheetViews>
  <sheetFormatPr defaultRowHeight="14.6" x14ac:dyDescent="0.4"/>
  <cols>
    <col min="2" max="2" width="30.765625" bestFit="1" customWidth="1"/>
    <col min="3" max="3" width="14.84375" bestFit="1" customWidth="1"/>
    <col min="4" max="4" width="12" bestFit="1" customWidth="1"/>
    <col min="5" max="7" width="18.69140625" bestFit="1" customWidth="1"/>
    <col min="8" max="8" width="13.4609375" bestFit="1" customWidth="1"/>
    <col min="9" max="9" width="9.84375" bestFit="1" customWidth="1"/>
    <col min="10" max="10" width="16.15234375" bestFit="1" customWidth="1"/>
    <col min="11" max="11" width="13.4609375" bestFit="1" customWidth="1"/>
  </cols>
  <sheetData>
    <row r="2" spans="2:11" ht="23.6" x14ac:dyDescent="0.65">
      <c r="B2" s="37" t="s">
        <v>28</v>
      </c>
      <c r="C2" s="38" t="s">
        <v>190</v>
      </c>
      <c r="D2" s="38" t="s">
        <v>58</v>
      </c>
      <c r="E2" s="39" t="s">
        <v>59</v>
      </c>
      <c r="F2" s="40"/>
      <c r="K2" s="40"/>
    </row>
    <row r="3" spans="2:11" ht="23.6" x14ac:dyDescent="0.65">
      <c r="B3" s="41" t="s">
        <v>61</v>
      </c>
      <c r="C3" s="35" t="s">
        <v>191</v>
      </c>
      <c r="D3" s="35">
        <v>23</v>
      </c>
      <c r="E3" s="42">
        <v>2000</v>
      </c>
      <c r="F3" s="40"/>
      <c r="K3" s="43"/>
    </row>
    <row r="4" spans="2:11" ht="23.6" x14ac:dyDescent="0.65">
      <c r="B4" s="41" t="s">
        <v>194</v>
      </c>
      <c r="C4" s="35" t="s">
        <v>195</v>
      </c>
      <c r="D4" s="35">
        <v>23</v>
      </c>
      <c r="E4" s="42">
        <v>100</v>
      </c>
      <c r="F4" s="40"/>
      <c r="G4" s="43"/>
      <c r="H4" s="40"/>
      <c r="I4" s="40"/>
      <c r="J4" s="40"/>
      <c r="K4" s="40"/>
    </row>
    <row r="5" spans="2:11" ht="23.6" x14ac:dyDescent="0.65">
      <c r="B5" s="41" t="s">
        <v>194</v>
      </c>
      <c r="C5" s="35" t="s">
        <v>196</v>
      </c>
      <c r="D5" s="35">
        <v>24</v>
      </c>
      <c r="E5" s="42">
        <v>5000</v>
      </c>
      <c r="F5" s="40"/>
      <c r="G5" s="40"/>
      <c r="H5" s="40"/>
      <c r="I5" s="40"/>
      <c r="J5" s="40"/>
      <c r="K5" s="40"/>
    </row>
    <row r="6" spans="2:11" ht="23.6" x14ac:dyDescent="0.65">
      <c r="B6" s="41" t="s">
        <v>67</v>
      </c>
      <c r="C6" s="35" t="s">
        <v>197</v>
      </c>
      <c r="D6" s="35">
        <v>23</v>
      </c>
      <c r="E6" s="42">
        <v>100</v>
      </c>
      <c r="F6" s="40"/>
      <c r="G6" s="40"/>
      <c r="H6" s="40"/>
      <c r="I6" s="40"/>
      <c r="J6" s="40"/>
      <c r="K6" s="40"/>
    </row>
    <row r="7" spans="2:11" ht="23.6" x14ac:dyDescent="0.65">
      <c r="B7" s="41" t="s">
        <v>69</v>
      </c>
      <c r="C7" s="35" t="s">
        <v>196</v>
      </c>
      <c r="D7" s="35">
        <v>26</v>
      </c>
      <c r="E7" s="42">
        <v>5000</v>
      </c>
      <c r="F7" s="40"/>
      <c r="G7" s="40"/>
      <c r="H7" s="40"/>
      <c r="I7" s="40"/>
      <c r="J7" s="40"/>
      <c r="K7" s="40"/>
    </row>
    <row r="8" spans="2:11" ht="23.6" x14ac:dyDescent="0.65">
      <c r="B8" s="41" t="s">
        <v>71</v>
      </c>
      <c r="C8" s="35" t="s">
        <v>196</v>
      </c>
      <c r="D8" s="35">
        <v>26</v>
      </c>
      <c r="E8" s="42">
        <v>5000</v>
      </c>
      <c r="F8" s="40"/>
    </row>
    <row r="9" spans="2:11" ht="23.6" x14ac:dyDescent="0.65">
      <c r="B9" s="41" t="s">
        <v>73</v>
      </c>
      <c r="C9" s="35" t="s">
        <v>197</v>
      </c>
      <c r="D9" s="35">
        <v>26</v>
      </c>
      <c r="E9" s="42">
        <v>3000</v>
      </c>
      <c r="F9" s="40"/>
    </row>
    <row r="10" spans="2:11" ht="23.6" x14ac:dyDescent="0.65">
      <c r="B10" s="41" t="s">
        <v>75</v>
      </c>
      <c r="C10" s="35" t="s">
        <v>197</v>
      </c>
      <c r="D10" s="35">
        <v>26</v>
      </c>
      <c r="E10" s="42">
        <v>3000</v>
      </c>
      <c r="F10" s="40"/>
      <c r="G10" s="40"/>
      <c r="H10" s="40"/>
      <c r="I10" s="40"/>
      <c r="J10" s="40"/>
      <c r="K10" s="40"/>
    </row>
    <row r="11" spans="2:11" ht="23.6" x14ac:dyDescent="0.65">
      <c r="B11" s="41" t="s">
        <v>76</v>
      </c>
      <c r="C11" s="35" t="s">
        <v>197</v>
      </c>
      <c r="D11" s="35">
        <v>26</v>
      </c>
      <c r="E11" s="42">
        <v>3000</v>
      </c>
      <c r="F11" s="40"/>
      <c r="G11" s="40"/>
      <c r="H11" s="40"/>
      <c r="I11" s="40"/>
      <c r="J11" s="40"/>
      <c r="K11" s="40"/>
    </row>
    <row r="12" spans="2:11" ht="23.6" x14ac:dyDescent="0.65">
      <c r="B12" s="41" t="s">
        <v>77</v>
      </c>
      <c r="C12" s="35" t="s">
        <v>199</v>
      </c>
      <c r="D12" s="35">
        <v>26</v>
      </c>
      <c r="E12" s="42">
        <v>4000</v>
      </c>
      <c r="F12" s="40"/>
      <c r="G12" s="40"/>
      <c r="H12" s="40"/>
      <c r="I12" s="40"/>
      <c r="J12" s="40"/>
      <c r="K12" s="40"/>
    </row>
    <row r="13" spans="2:11" ht="23.6" x14ac:dyDescent="0.65">
      <c r="B13" s="41" t="s">
        <v>76</v>
      </c>
      <c r="C13" s="35" t="s">
        <v>199</v>
      </c>
      <c r="D13" s="35">
        <v>26</v>
      </c>
      <c r="E13" s="42">
        <v>4000</v>
      </c>
      <c r="F13" s="40"/>
      <c r="G13" s="40"/>
      <c r="H13" s="40"/>
      <c r="I13" s="40"/>
      <c r="J13" s="40"/>
      <c r="K13" s="40"/>
    </row>
    <row r="14" spans="2:11" ht="23.6" x14ac:dyDescent="0.65">
      <c r="B14" s="41" t="s">
        <v>80</v>
      </c>
      <c r="C14" s="35" t="s">
        <v>199</v>
      </c>
      <c r="D14" s="35">
        <v>26</v>
      </c>
      <c r="E14" s="42">
        <v>4000</v>
      </c>
      <c r="F14" s="40"/>
      <c r="G14" s="40"/>
      <c r="H14" s="40"/>
      <c r="I14" s="40"/>
      <c r="J14" s="40"/>
      <c r="K14" s="40"/>
    </row>
    <row r="20" spans="3:7" ht="23.6" x14ac:dyDescent="0.65">
      <c r="C20" s="38" t="s">
        <v>58</v>
      </c>
      <c r="D20" s="39" t="s">
        <v>59</v>
      </c>
      <c r="E20" s="38" t="s">
        <v>190</v>
      </c>
      <c r="F20" s="39" t="s">
        <v>59</v>
      </c>
    </row>
    <row r="21" spans="3:7" ht="23.6" x14ac:dyDescent="0.65">
      <c r="C21" s="33" t="s">
        <v>192</v>
      </c>
      <c r="D21" s="34" t="s">
        <v>193</v>
      </c>
      <c r="E21" s="35" t="s">
        <v>191</v>
      </c>
      <c r="F21" s="44">
        <f>SUMIFS(E2:E14,D2:D14,C21,E2:E14,D21,C2:C14,E21)</f>
        <v>2000</v>
      </c>
    </row>
    <row r="28" spans="3:7" ht="23.6" x14ac:dyDescent="0.65">
      <c r="C28" s="38" t="s">
        <v>58</v>
      </c>
      <c r="D28" s="39" t="s">
        <v>59</v>
      </c>
      <c r="E28" s="38" t="s">
        <v>190</v>
      </c>
      <c r="F28" s="37" t="s">
        <v>28</v>
      </c>
      <c r="G28" s="39" t="s">
        <v>59</v>
      </c>
    </row>
    <row r="29" spans="3:7" ht="23.6" x14ac:dyDescent="0.65">
      <c r="C29" s="35" t="s">
        <v>192</v>
      </c>
      <c r="D29" s="36" t="s">
        <v>198</v>
      </c>
      <c r="E29" s="35" t="s">
        <v>191</v>
      </c>
      <c r="F29" s="41" t="s">
        <v>73</v>
      </c>
      <c r="G29" s="44">
        <f>SUMIFS(E2:E14,D2:D14,C29,E2:E14,D29,C2:C14,E29,B2:B14,F29)</f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E56E8-9DBA-4A39-B9F3-9D4201B730A3}">
  <sheetPr codeName="Planilha12"/>
  <dimension ref="B2:I14"/>
  <sheetViews>
    <sheetView workbookViewId="0">
      <selection activeCell="H7" sqref="H7"/>
    </sheetView>
  </sheetViews>
  <sheetFormatPr defaultRowHeight="14.6" x14ac:dyDescent="0.4"/>
  <cols>
    <col min="1" max="1" width="2.23046875" customWidth="1"/>
    <col min="2" max="2" width="21.84375" bestFit="1" customWidth="1"/>
    <col min="3" max="3" width="30.23046875" bestFit="1" customWidth="1"/>
    <col min="4" max="4" width="20.61328125" bestFit="1" customWidth="1"/>
    <col min="5" max="5" width="8.3828125" bestFit="1" customWidth="1"/>
    <col min="6" max="6" width="2.921875" customWidth="1"/>
    <col min="8" max="8" width="30.23046875" bestFit="1" customWidth="1"/>
  </cols>
  <sheetData>
    <row r="2" spans="2:9" ht="19.75" x14ac:dyDescent="0.55000000000000004">
      <c r="B2" s="45" t="s">
        <v>81</v>
      </c>
      <c r="C2" s="45" t="s">
        <v>28</v>
      </c>
      <c r="D2" s="46" t="s">
        <v>200</v>
      </c>
      <c r="E2" s="46" t="s">
        <v>58</v>
      </c>
      <c r="F2" s="47"/>
      <c r="G2" s="46" t="s">
        <v>58</v>
      </c>
      <c r="H2" s="46" t="s">
        <v>58</v>
      </c>
      <c r="I2" s="46" t="s">
        <v>203</v>
      </c>
    </row>
    <row r="3" spans="2:9" ht="19.75" x14ac:dyDescent="0.55000000000000004">
      <c r="B3" s="48" t="s">
        <v>82</v>
      </c>
      <c r="C3" s="48" t="s">
        <v>61</v>
      </c>
      <c r="D3" s="49">
        <v>42005</v>
      </c>
      <c r="E3" s="50">
        <v>23</v>
      </c>
      <c r="F3" s="47"/>
      <c r="G3" s="48" t="s">
        <v>201</v>
      </c>
      <c r="H3" s="48" t="s">
        <v>202</v>
      </c>
      <c r="I3" s="48">
        <f>COUNTIFS(E2:E14,G3,E2:E14,H3)</f>
        <v>6</v>
      </c>
    </row>
    <row r="4" spans="2:9" ht="19.75" x14ac:dyDescent="0.55000000000000004">
      <c r="B4" s="48" t="s">
        <v>86</v>
      </c>
      <c r="C4" s="48" t="s">
        <v>63</v>
      </c>
      <c r="D4" s="49">
        <v>42370</v>
      </c>
      <c r="E4" s="50">
        <v>23</v>
      </c>
      <c r="F4" s="47"/>
      <c r="G4" s="47"/>
      <c r="H4" s="47"/>
    </row>
    <row r="5" spans="2:9" ht="19.75" x14ac:dyDescent="0.55000000000000004">
      <c r="B5" s="48" t="s">
        <v>86</v>
      </c>
      <c r="C5" s="48" t="s">
        <v>63</v>
      </c>
      <c r="D5" s="49">
        <v>42735</v>
      </c>
      <c r="E5" s="50">
        <v>23</v>
      </c>
      <c r="F5" s="47"/>
      <c r="G5" s="47"/>
      <c r="H5" s="47"/>
    </row>
    <row r="6" spans="2:9" ht="19.75" x14ac:dyDescent="0.55000000000000004">
      <c r="B6" s="48" t="s">
        <v>83</v>
      </c>
      <c r="C6" s="48" t="s">
        <v>67</v>
      </c>
      <c r="D6" s="49">
        <v>43100</v>
      </c>
      <c r="E6" s="50">
        <v>26</v>
      </c>
      <c r="F6" s="47"/>
      <c r="G6" s="47"/>
      <c r="H6" s="47"/>
    </row>
    <row r="7" spans="2:9" ht="19.75" x14ac:dyDescent="0.55000000000000004">
      <c r="B7" s="48" t="s">
        <v>88</v>
      </c>
      <c r="C7" s="48" t="s">
        <v>69</v>
      </c>
      <c r="D7" s="49">
        <v>43465</v>
      </c>
      <c r="E7" s="50">
        <v>26</v>
      </c>
      <c r="F7" s="47"/>
      <c r="G7" s="47"/>
      <c r="H7" s="47"/>
    </row>
    <row r="8" spans="2:9" ht="19.75" x14ac:dyDescent="0.55000000000000004">
      <c r="B8" s="48" t="s">
        <v>89</v>
      </c>
      <c r="C8" s="48" t="s">
        <v>71</v>
      </c>
      <c r="D8" s="49">
        <v>43830</v>
      </c>
      <c r="E8" s="50">
        <v>26</v>
      </c>
      <c r="F8" s="47"/>
      <c r="G8" s="47"/>
      <c r="H8" s="47"/>
    </row>
    <row r="9" spans="2:9" ht="19.75" x14ac:dyDescent="0.55000000000000004">
      <c r="B9" s="48" t="s">
        <v>84</v>
      </c>
      <c r="C9" s="48" t="s">
        <v>73</v>
      </c>
      <c r="D9" s="49">
        <v>44195</v>
      </c>
      <c r="E9" s="50">
        <v>23</v>
      </c>
      <c r="F9" s="47"/>
      <c r="G9" s="47"/>
      <c r="H9" s="47"/>
    </row>
    <row r="10" spans="2:9" ht="19.75" x14ac:dyDescent="0.55000000000000004">
      <c r="B10" s="48" t="s">
        <v>90</v>
      </c>
      <c r="C10" s="48" t="s">
        <v>67</v>
      </c>
      <c r="D10" s="49">
        <v>44560</v>
      </c>
      <c r="E10" s="50">
        <v>30</v>
      </c>
      <c r="F10" s="47"/>
      <c r="G10" s="47"/>
      <c r="H10" s="47"/>
    </row>
    <row r="11" spans="2:9" ht="19.75" x14ac:dyDescent="0.55000000000000004">
      <c r="B11" s="48" t="s">
        <v>85</v>
      </c>
      <c r="C11" s="48" t="s">
        <v>76</v>
      </c>
      <c r="D11" s="49">
        <v>44925</v>
      </c>
      <c r="E11" s="50">
        <v>23</v>
      </c>
      <c r="F11" s="47"/>
      <c r="G11" s="47"/>
      <c r="H11" s="47"/>
    </row>
    <row r="12" spans="2:9" ht="19.75" x14ac:dyDescent="0.55000000000000004">
      <c r="B12" s="48" t="s">
        <v>91</v>
      </c>
      <c r="C12" s="48" t="s">
        <v>77</v>
      </c>
      <c r="D12" s="49">
        <v>45290</v>
      </c>
      <c r="E12" s="50">
        <v>30</v>
      </c>
      <c r="F12" s="47"/>
      <c r="G12" s="47"/>
      <c r="H12" s="47"/>
    </row>
    <row r="13" spans="2:9" ht="19.75" x14ac:dyDescent="0.55000000000000004">
      <c r="B13" s="48" t="s">
        <v>92</v>
      </c>
      <c r="C13" s="48" t="s">
        <v>79</v>
      </c>
      <c r="D13" s="49">
        <v>45655</v>
      </c>
      <c r="E13" s="50">
        <v>45</v>
      </c>
      <c r="F13" s="47"/>
      <c r="G13" s="47"/>
      <c r="H13" s="47"/>
    </row>
    <row r="14" spans="2:9" ht="19.75" x14ac:dyDescent="0.55000000000000004">
      <c r="B14" s="48" t="s">
        <v>93</v>
      </c>
      <c r="C14" s="48" t="s">
        <v>80</v>
      </c>
      <c r="D14" s="49">
        <v>46020</v>
      </c>
      <c r="E14" s="50">
        <v>30</v>
      </c>
      <c r="F14" s="47"/>
      <c r="G14" s="47"/>
      <c r="H14" s="47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7C82B-9477-4C33-9A42-8727CF99745E}">
  <sheetPr codeName="Planilha13"/>
  <dimension ref="B2:AE32"/>
  <sheetViews>
    <sheetView tabSelected="1" topLeftCell="I1" workbookViewId="0">
      <selection activeCell="M17" sqref="M17:U18"/>
    </sheetView>
  </sheetViews>
  <sheetFormatPr defaultRowHeight="14.6" x14ac:dyDescent="0.4"/>
  <cols>
    <col min="2" max="2" width="17.53515625" bestFit="1" customWidth="1"/>
    <col min="3" max="3" width="21.53515625" bestFit="1" customWidth="1"/>
    <col min="4" max="4" width="1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11.53515625" bestFit="1" customWidth="1"/>
    <col min="11" max="11" width="17.3046875" bestFit="1" customWidth="1"/>
    <col min="13" max="13" width="11.61328125" bestFit="1" customWidth="1"/>
    <col min="14" max="14" width="21.53515625" bestFit="1" customWidth="1"/>
    <col min="15" max="15" width="9.69140625" bestFit="1" customWidth="1"/>
    <col min="16" max="16" width="20.23046875" bestFit="1" customWidth="1"/>
    <col min="17" max="17" width="12.23046875" bestFit="1" customWidth="1"/>
    <col min="18" max="18" width="9.921875" bestFit="1" customWidth="1"/>
    <col min="19" max="20" width="11.3828125" bestFit="1" customWidth="1"/>
    <col min="21" max="21" width="11.53515625" bestFit="1" customWidth="1"/>
    <col min="23" max="23" width="21.53515625" bestFit="1" customWidth="1"/>
    <col min="24" max="24" width="9.69140625" bestFit="1" customWidth="1"/>
    <col min="27" max="27" width="9.69140625" bestFit="1" customWidth="1"/>
  </cols>
  <sheetData>
    <row r="2" spans="2:11" ht="23.6" x14ac:dyDescent="0.65">
      <c r="B2" s="51" t="s">
        <v>117</v>
      </c>
      <c r="C2" s="51" t="s">
        <v>28</v>
      </c>
      <c r="D2" s="52" t="s">
        <v>58</v>
      </c>
      <c r="F2" s="53" t="s">
        <v>117</v>
      </c>
      <c r="G2" s="53" t="s">
        <v>58</v>
      </c>
      <c r="H2" s="53" t="s">
        <v>28</v>
      </c>
    </row>
    <row r="3" spans="2:11" ht="23.6" x14ac:dyDescent="0.65">
      <c r="B3" s="41" t="s">
        <v>204</v>
      </c>
      <c r="C3" s="41" t="s">
        <v>205</v>
      </c>
      <c r="D3" s="35">
        <v>30</v>
      </c>
      <c r="F3" s="35" t="s">
        <v>206</v>
      </c>
      <c r="G3" s="35">
        <v>38</v>
      </c>
      <c r="H3" s="35" t="s">
        <v>207</v>
      </c>
      <c r="I3" s="43" t="str" cm="1">
        <f t="array" ref="I3:K3">_xlfn._xlws.FILTER($B$2:$D$13,($B$2:$B$13=$F$3)*($D$2:$D$13=$G$3)*($C$2:$C$13=$H$3),"")</f>
        <v>Paraná</v>
      </c>
      <c r="J3" t="str">
        <v>Arthur</v>
      </c>
      <c r="K3">
        <v>38</v>
      </c>
    </row>
    <row r="4" spans="2:11" ht="23.6" x14ac:dyDescent="0.65">
      <c r="B4" s="41" t="s">
        <v>206</v>
      </c>
      <c r="C4" s="41" t="s">
        <v>207</v>
      </c>
      <c r="D4" s="35">
        <v>38</v>
      </c>
    </row>
    <row r="5" spans="2:11" ht="23.6" x14ac:dyDescent="0.65">
      <c r="B5" s="41" t="s">
        <v>204</v>
      </c>
      <c r="C5" s="41" t="s">
        <v>208</v>
      </c>
      <c r="D5" s="35">
        <v>19</v>
      </c>
      <c r="G5" s="21"/>
    </row>
    <row r="6" spans="2:11" ht="23.6" x14ac:dyDescent="0.65">
      <c r="B6" s="41" t="s">
        <v>209</v>
      </c>
      <c r="C6" s="41" t="s">
        <v>210</v>
      </c>
      <c r="D6" s="35">
        <v>21</v>
      </c>
      <c r="F6" s="21"/>
      <c r="G6" s="21"/>
    </row>
    <row r="7" spans="2:11" ht="23.6" x14ac:dyDescent="0.65">
      <c r="B7" s="41" t="s">
        <v>211</v>
      </c>
      <c r="C7" s="41" t="s">
        <v>212</v>
      </c>
      <c r="D7" s="35">
        <v>18</v>
      </c>
    </row>
    <row r="8" spans="2:11" ht="23.6" x14ac:dyDescent="0.65">
      <c r="B8" s="41" t="s">
        <v>211</v>
      </c>
      <c r="C8" s="41" t="s">
        <v>213</v>
      </c>
      <c r="D8" s="35">
        <v>30</v>
      </c>
    </row>
    <row r="9" spans="2:11" ht="23.6" x14ac:dyDescent="0.65">
      <c r="B9" s="41" t="s">
        <v>206</v>
      </c>
      <c r="C9" s="41" t="s">
        <v>214</v>
      </c>
      <c r="D9" s="35">
        <v>49</v>
      </c>
    </row>
    <row r="10" spans="2:11" ht="23.6" x14ac:dyDescent="0.65">
      <c r="B10" s="41" t="s">
        <v>206</v>
      </c>
      <c r="C10" s="41" t="s">
        <v>128</v>
      </c>
      <c r="D10" s="35">
        <v>38</v>
      </c>
    </row>
    <row r="11" spans="2:11" ht="23.6" x14ac:dyDescent="0.65">
      <c r="B11" s="41" t="s">
        <v>206</v>
      </c>
      <c r="C11" s="41" t="s">
        <v>215</v>
      </c>
      <c r="D11" s="35">
        <v>38</v>
      </c>
    </row>
    <row r="12" spans="2:11" ht="23.6" x14ac:dyDescent="0.65">
      <c r="B12" s="41" t="s">
        <v>211</v>
      </c>
      <c r="C12" s="41" t="s">
        <v>216</v>
      </c>
      <c r="D12" s="35">
        <v>21</v>
      </c>
    </row>
    <row r="13" spans="2:11" ht="23.6" x14ac:dyDescent="0.65">
      <c r="B13" s="41" t="s">
        <v>217</v>
      </c>
      <c r="C13" s="41" t="s">
        <v>218</v>
      </c>
      <c r="D13" s="35">
        <v>18</v>
      </c>
    </row>
    <row r="14" spans="2:11" x14ac:dyDescent="0.4">
      <c r="B14" s="54"/>
    </row>
    <row r="17" spans="2:31" x14ac:dyDescent="0.4">
      <c r="B17" s="55" t="s">
        <v>156</v>
      </c>
      <c r="C17" s="55" t="s">
        <v>147</v>
      </c>
      <c r="D17" s="55" t="s">
        <v>148</v>
      </c>
      <c r="E17" s="55" t="s">
        <v>149</v>
      </c>
      <c r="F17" s="55" t="s">
        <v>150</v>
      </c>
      <c r="G17" s="55" t="s">
        <v>151</v>
      </c>
      <c r="H17" s="55" t="s">
        <v>152</v>
      </c>
      <c r="I17" s="55" t="s">
        <v>153</v>
      </c>
      <c r="J17" s="55" t="s">
        <v>154</v>
      </c>
      <c r="K17" s="55" t="s">
        <v>155</v>
      </c>
      <c r="M17" s="55" t="s">
        <v>156</v>
      </c>
      <c r="N17" s="55" t="s">
        <v>147</v>
      </c>
      <c r="O17" s="55" t="s">
        <v>148</v>
      </c>
      <c r="P17" s="55" t="s">
        <v>149</v>
      </c>
      <c r="Q17" s="55" t="s">
        <v>150</v>
      </c>
      <c r="R17" s="55" t="s">
        <v>151</v>
      </c>
      <c r="S17" s="55" t="s">
        <v>152</v>
      </c>
      <c r="T17" s="55" t="s">
        <v>153</v>
      </c>
      <c r="U17" s="55" t="s">
        <v>154</v>
      </c>
    </row>
    <row r="18" spans="2:31" x14ac:dyDescent="0.4">
      <c r="B18" s="56">
        <v>1</v>
      </c>
      <c r="C18" t="s">
        <v>164</v>
      </c>
      <c r="D18" t="s">
        <v>165</v>
      </c>
      <c r="E18" s="22">
        <v>20</v>
      </c>
      <c r="F18" s="22" t="s">
        <v>166</v>
      </c>
      <c r="G18" t="s">
        <v>167</v>
      </c>
      <c r="H18" s="9" t="s">
        <v>161</v>
      </c>
      <c r="I18" t="s">
        <v>162</v>
      </c>
      <c r="J18" t="s">
        <v>163</v>
      </c>
      <c r="K18" t="s">
        <v>168</v>
      </c>
      <c r="M18">
        <v>5</v>
      </c>
      <c r="N18" t="s">
        <v>169</v>
      </c>
      <c r="O18" t="s">
        <v>170</v>
      </c>
      <c r="P18">
        <v>40</v>
      </c>
      <c r="Q18" t="s">
        <v>171</v>
      </c>
      <c r="R18" t="s">
        <v>172</v>
      </c>
      <c r="S18" s="9" t="s">
        <v>161</v>
      </c>
      <c r="T18" t="s">
        <v>162</v>
      </c>
      <c r="U18" t="s">
        <v>163</v>
      </c>
      <c r="V18" cm="1">
        <f t="array" ref="V18:AE21">_xlfn._xlws.FILTER($B$17:$K$26,($B$17:$B$26=$M$18)*($C$17:$C$26=$N$18)*($D$17:$D$26=$O$18)*($E$17:$E$26=$P$18)*($F$17:$F$26=$Q$18)*($G$17:$G$26=$R$18)*($H$17:$H$26=$S$18)*($I$17:$I$26=$T$18)*($J$17:$J$26=$U$18),"")</f>
        <v>5</v>
      </c>
      <c r="W18" t="str">
        <v>Fone de Ouvido Bluetooth</v>
      </c>
      <c r="X18" t="str">
        <v>Acessórios</v>
      </c>
      <c r="Y18">
        <v>40</v>
      </c>
      <c r="Z18" t="str">
        <v>150.00</v>
      </c>
      <c r="AA18" t="str">
        <v>SoundTech</v>
      </c>
      <c r="AB18" t="str">
        <v>Teste A</v>
      </c>
      <c r="AC18" t="str">
        <v>Centro A</v>
      </c>
      <c r="AD18" t="str">
        <v>Rua A</v>
      </c>
      <c r="AE18" t="str">
        <v>4.6</v>
      </c>
    </row>
    <row r="19" spans="2:31" x14ac:dyDescent="0.4">
      <c r="B19" s="56">
        <v>2</v>
      </c>
      <c r="C19" t="s">
        <v>173</v>
      </c>
      <c r="D19" t="s">
        <v>165</v>
      </c>
      <c r="E19" s="22">
        <v>35</v>
      </c>
      <c r="F19" s="22" t="s">
        <v>174</v>
      </c>
      <c r="G19" t="s">
        <v>175</v>
      </c>
      <c r="H19" s="9" t="s">
        <v>161</v>
      </c>
      <c r="I19" t="s">
        <v>162</v>
      </c>
      <c r="J19" t="s">
        <v>163</v>
      </c>
      <c r="K19" t="s">
        <v>176</v>
      </c>
      <c r="V19">
        <v>5</v>
      </c>
      <c r="W19" t="str">
        <v>Fone de Ouvido Bluetooth</v>
      </c>
      <c r="X19" t="str">
        <v>Acessórios</v>
      </c>
      <c r="Y19">
        <v>40</v>
      </c>
      <c r="Z19" t="str">
        <v>150.00</v>
      </c>
      <c r="AA19" t="str">
        <v>SoundTech</v>
      </c>
      <c r="AB19" t="str">
        <v>Teste A</v>
      </c>
      <c r="AC19" t="str">
        <v>Centro A</v>
      </c>
      <c r="AD19" t="str">
        <v>Rua A</v>
      </c>
      <c r="AE19" t="str">
        <v>4.7</v>
      </c>
    </row>
    <row r="20" spans="2:31" x14ac:dyDescent="0.4">
      <c r="B20" s="56">
        <v>3</v>
      </c>
      <c r="C20" t="s">
        <v>157</v>
      </c>
      <c r="D20" t="s">
        <v>158</v>
      </c>
      <c r="E20" s="22">
        <v>15</v>
      </c>
      <c r="F20" s="22" t="s">
        <v>159</v>
      </c>
      <c r="G20" t="s">
        <v>160</v>
      </c>
      <c r="H20" s="9" t="s">
        <v>161</v>
      </c>
      <c r="I20" t="s">
        <v>162</v>
      </c>
      <c r="J20" t="s">
        <v>163</v>
      </c>
      <c r="K20" t="s">
        <v>177</v>
      </c>
      <c r="V20">
        <v>5</v>
      </c>
      <c r="W20" t="str">
        <v>Fone de Ouvido Bluetooth</v>
      </c>
      <c r="X20" t="str">
        <v>Acessórios</v>
      </c>
      <c r="Y20">
        <v>40</v>
      </c>
      <c r="Z20" t="str">
        <v>150.00</v>
      </c>
      <c r="AA20" t="str">
        <v>SoundTech</v>
      </c>
      <c r="AB20" t="str">
        <v>Teste A</v>
      </c>
      <c r="AC20" t="str">
        <v>Centro A</v>
      </c>
      <c r="AD20" t="str">
        <v>Rua A</v>
      </c>
      <c r="AE20" t="str">
        <v>4.8</v>
      </c>
    </row>
    <row r="21" spans="2:31" x14ac:dyDescent="0.4">
      <c r="B21" s="56">
        <v>4</v>
      </c>
      <c r="C21" t="s">
        <v>178</v>
      </c>
      <c r="D21" t="s">
        <v>170</v>
      </c>
      <c r="E21" s="22">
        <v>50</v>
      </c>
      <c r="F21" s="22" t="s">
        <v>179</v>
      </c>
      <c r="G21" t="s">
        <v>167</v>
      </c>
      <c r="H21" s="9" t="s">
        <v>161</v>
      </c>
      <c r="I21" t="s">
        <v>162</v>
      </c>
      <c r="J21" t="s">
        <v>163</v>
      </c>
      <c r="K21" t="s">
        <v>180</v>
      </c>
      <c r="V21">
        <v>5</v>
      </c>
      <c r="W21" t="str">
        <v>Fone de Ouvido Bluetooth</v>
      </c>
      <c r="X21" t="str">
        <v>Acessórios</v>
      </c>
      <c r="Y21">
        <v>40</v>
      </c>
      <c r="Z21" t="str">
        <v>150.00</v>
      </c>
      <c r="AA21" t="str">
        <v>SoundTech</v>
      </c>
      <c r="AB21" t="str">
        <v>Teste A</v>
      </c>
      <c r="AC21" t="str">
        <v>Centro A</v>
      </c>
      <c r="AD21" t="str">
        <v>Rua A</v>
      </c>
      <c r="AE21" t="str">
        <v>4.9</v>
      </c>
    </row>
    <row r="22" spans="2:31" x14ac:dyDescent="0.4">
      <c r="B22" s="56">
        <v>5</v>
      </c>
      <c r="C22" t="s">
        <v>169</v>
      </c>
      <c r="D22" t="s">
        <v>170</v>
      </c>
      <c r="E22" s="22">
        <v>40</v>
      </c>
      <c r="F22" s="22" t="s">
        <v>171</v>
      </c>
      <c r="G22" t="s">
        <v>172</v>
      </c>
      <c r="H22" s="9" t="s">
        <v>161</v>
      </c>
      <c r="I22" t="s">
        <v>162</v>
      </c>
      <c r="J22" t="s">
        <v>163</v>
      </c>
      <c r="K22" t="s">
        <v>181</v>
      </c>
    </row>
    <row r="23" spans="2:31" x14ac:dyDescent="0.4">
      <c r="B23" s="56">
        <v>3</v>
      </c>
      <c r="C23" t="s">
        <v>157</v>
      </c>
      <c r="D23" t="s">
        <v>158</v>
      </c>
      <c r="E23" s="22">
        <v>15</v>
      </c>
      <c r="F23" s="22" t="s">
        <v>159</v>
      </c>
      <c r="G23" t="s">
        <v>160</v>
      </c>
      <c r="H23" s="9" t="s">
        <v>161</v>
      </c>
      <c r="I23" t="s">
        <v>162</v>
      </c>
      <c r="J23" t="s">
        <v>163</v>
      </c>
      <c r="K23" t="s">
        <v>219</v>
      </c>
    </row>
    <row r="24" spans="2:31" x14ac:dyDescent="0.4">
      <c r="B24" s="56">
        <v>5</v>
      </c>
      <c r="C24" t="s">
        <v>169</v>
      </c>
      <c r="D24" t="s">
        <v>170</v>
      </c>
      <c r="E24" s="22">
        <v>40</v>
      </c>
      <c r="F24" s="22" t="s">
        <v>171</v>
      </c>
      <c r="G24" t="s">
        <v>172</v>
      </c>
      <c r="H24" s="9" t="s">
        <v>161</v>
      </c>
      <c r="I24" t="s">
        <v>162</v>
      </c>
      <c r="J24" t="s">
        <v>163</v>
      </c>
      <c r="K24" t="s">
        <v>176</v>
      </c>
    </row>
    <row r="25" spans="2:31" x14ac:dyDescent="0.4">
      <c r="B25" s="56">
        <v>5</v>
      </c>
      <c r="C25" t="s">
        <v>169</v>
      </c>
      <c r="D25" t="s">
        <v>170</v>
      </c>
      <c r="E25" s="22">
        <v>40</v>
      </c>
      <c r="F25" s="22" t="s">
        <v>171</v>
      </c>
      <c r="G25" t="s">
        <v>172</v>
      </c>
      <c r="H25" s="9" t="s">
        <v>161</v>
      </c>
      <c r="I25" t="s">
        <v>162</v>
      </c>
      <c r="J25" t="s">
        <v>163</v>
      </c>
      <c r="K25" t="s">
        <v>180</v>
      </c>
    </row>
    <row r="26" spans="2:31" x14ac:dyDescent="0.4">
      <c r="B26" s="56">
        <v>5</v>
      </c>
      <c r="C26" t="s">
        <v>169</v>
      </c>
      <c r="D26" t="s">
        <v>170</v>
      </c>
      <c r="E26" s="22">
        <v>40</v>
      </c>
      <c r="F26" s="22" t="s">
        <v>171</v>
      </c>
      <c r="G26" t="s">
        <v>172</v>
      </c>
      <c r="H26" s="9" t="s">
        <v>161</v>
      </c>
      <c r="I26" t="s">
        <v>162</v>
      </c>
      <c r="J26" t="s">
        <v>163</v>
      </c>
      <c r="K26" t="s">
        <v>219</v>
      </c>
    </row>
    <row r="32" spans="2:31" x14ac:dyDescent="0.4">
      <c r="C32" s="56"/>
    </row>
  </sheetData>
  <dataValidations count="1">
    <dataValidation type="list" allowBlank="1" showInputMessage="1" showErrorMessage="1" sqref="F3" xr:uid="{45476053-6C56-4484-B409-3294C043EEF5}">
      <formula1>_xlfn.ANCHORARRAY(#REF!)</formula1>
    </dataValidation>
  </dataValidation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Concatenar</vt:lpstr>
      <vt:lpstr>Soma, Máximo e Mínimo</vt:lpstr>
      <vt:lpstr>Fórmula Duplicado</vt:lpstr>
      <vt:lpstr>Arredondar</vt:lpstr>
      <vt:lpstr>Truncar, Int, Par e Ímpar</vt:lpstr>
      <vt:lpstr>Data</vt:lpstr>
      <vt:lpstr>Texto</vt:lpstr>
      <vt:lpstr>Procv</vt:lpstr>
      <vt:lpstr>Índice Corresp</vt:lpstr>
      <vt:lpstr>Índice Corresp 2</vt:lpstr>
      <vt:lpstr>SOMASES</vt:lpstr>
      <vt:lpstr>CONT.SES</vt:lpstr>
      <vt:lpstr>FILTRO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2024-11-21T22:42:09Z</dcterms:created>
  <dcterms:modified xsi:type="dcterms:W3CDTF">2024-12-09T23:06:48Z</dcterms:modified>
</cp:coreProperties>
</file>