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79C32005-838E-4597-8F95-E914C3F23B85}" xr6:coauthVersionLast="47" xr6:coauthVersionMax="47" xr10:uidLastSave="{00000000-0000-0000-0000-000000000000}"/>
  <bookViews>
    <workbookView xWindow="-86" yWindow="0" windowWidth="16629" windowHeight="17880" firstSheet="17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9" l="1"/>
  <c r="L5" i="19" s="1"/>
  <c r="L6" i="19" s="1"/>
  <c r="L7" i="19" s="1"/>
  <c r="L8" i="19" s="1"/>
  <c r="L9" i="19" s="1"/>
  <c r="L10" i="19" s="1"/>
  <c r="L3" i="19"/>
  <c r="L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<sst xmlns="http://schemas.openxmlformats.org/spreadsheetml/2006/main" count="762" uniqueCount="295">
  <si>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</si>
  <si>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</si>
  <si>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</si>
  <si>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</si>
  <si>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</si>
  <si>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</si>
  <si>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</si>
  <si>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</si>
  <si>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</si>
  <si>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</si>
  <si>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</si>
  <si>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</si>
  <si>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</si>
  <si>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</si>
  <si>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</si>
  <si>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</si>
  <si>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</si>
  <si>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</si>
  <si>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</si>
  <si>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</si>
  <si>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</si>
  <si>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</si>
  <si>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</si>
  <si>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</si>
  <si>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</si>
  <si>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</si>
  <si>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</si>
  <si>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</si>
  <si>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</si>
  <si>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</si>
  <si>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</si>
  <si>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</si>
  <si>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</si>
  <si>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</si>
  <si>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</si>
  <si>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</si>
  <si>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</si>
  <si>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</si>
  <si>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</si>
  <si>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</si>
  <si>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</si>
  <si>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</si>
  <si>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</si>
  <si>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</si>
  <si>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</si>
  <si>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</si>
  <si>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</si>
  <si>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</si>
  <si>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</si>
  <si>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</si>
  <si>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</si>
  <si>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</si>
  <si>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</si>
  <si>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</si>
  <si>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</si>
  <si>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</si>
  <si>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</si>
  <si>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</si>
  <si>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</si>
  <si>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</si>
  <si>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</si>
  <si>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</si>
  <si>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</si>
  <si>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</si>
  <si>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</si>
  <si>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</si>
  <si>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</si>
  <si>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</si>
  <si>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</si>
  <si>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</si>
  <si>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</si>
  <si>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</si>
  <si>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</si>
  <si>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</si>
  <si>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</si>
  <si>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</si>
  <si>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</si>
  <si>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</si>
  <si>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</si>
  <si>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</si>
  <si>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</si>
  <si>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</si>
  <si>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</si>
  <si>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</si>
  <si>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</si>
  <si>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</si>
  <si>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</si>
  <si>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</si>
  <si>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</si>
  <si>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</si>
  <si>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</si>
  <si>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</si>
  <si>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</si>
  <si>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</si>
  <si>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</si>
  <si>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</si>
  <si>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</si>
  <si>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</si>
  <si>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</si>
  <si>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</si>
  <si>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</si>
  <si>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</si>
  <si>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</si>
  <si>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</si>
  <si>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</si>
  <si>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</si>
  <si>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</si>
  <si>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</si>
  <si>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</si>
  <si>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</si>
  <si>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</si>
  <si>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</si>
  <si>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</si>
  <si>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</si>
  <si>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</si>
  <si>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</si>
  <si>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</si>
  <si>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</si>
  <si>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</si>
  <si>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</si>
  <si>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</si>
  <si>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</si>
  <si>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</si>
  <si>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</si>
  <si>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</si>
  <si>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</si>
  <si>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</si>
  <si>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</si>
  <si>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</si>
  <si>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</si>
  <si>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</si>
  <si>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</si>
  <si>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</si>
  <si>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</si>
  <si>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</si>
  <si>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</si>
  <si>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</si>
  <si>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</si>
  <si>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</si>
  <si>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</si>
  <si>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</si>
  <si>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</si>
  <si>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</si>
  <si>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</si>
  <si>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</si>
  <si>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</si>
  <si>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</si>
  <si>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</si>
  <si>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</si>
  <si>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</si>
  <si>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</si>
  <si>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</si>
  <si>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</si>
  <si>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</si>
  <si>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</si>
  <si>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</si>
  <si>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</si>
  <si>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</si>
  <si>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</si>
  <si>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</si>
  <si>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</si>
  <si>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</si>
  <si>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</si>
  <si>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</si>
  <si>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</si>
  <si>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</si>
  <si>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</si>
  <si>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</si>
  <si>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</si>
  <si>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</si>
  <si>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</si>
  <si>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</si>
  <si>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</si>
  <si>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</si>
  <si>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</si>
  <si>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</si>
  <si>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</si>
  <si>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</si>
  <si>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</si>
  <si>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</si>
  <si>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</si>
  <si>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</si>
  <si>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</si>
  <si>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</si>
  <si>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</si>
  <si>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</si>
  <si>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</si>
  <si>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</si>
  <si>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</si>
  <si>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</si>
  <si>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</si>
  <si>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</si>
  <si>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</si>
  <si>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</si>
  <si>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</si>
  <si>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</si>
  <si>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</si>
  <si>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</si>
  <si>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</si>
  <si>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</si>
  <si>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</si>
  <si>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</si>
  <si>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</si>
  <si>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</si>
  <si>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</si>
  <si>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</si>
  <si>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</si>
  <si>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</si>
  <si>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</si>
  <si>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</si>
  <si>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</si>
  <si>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</si>
  <si>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</si>
  <si>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</si>
  <si>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</si>
  <si>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</si>
  <si>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</si>
  <si>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</si>
  <si>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</si>
  <si>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</si>
  <si>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</si>
  <si>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</si>
  <si>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</si>
  <si>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</si>
  <si>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</si>
  <si>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</si>
  <si>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</si>
  <si>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</si>
  <si>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</si>
  <si>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</si>
  <si>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</si>
  <si>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</si>
  <si>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</si>
  <si>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</si>
  <si>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</si>
  <si>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</si>
  <si>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</si>
  <si>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</si>
  <si>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</si>
  <si>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</si>
  <si>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</si>
  <si>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</si>
  <si>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</si>
  <si>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</si>
  <si>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</si>
  <si>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</si>
  <si>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</si>
  <si>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</si>
  <si>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</si>
  <si>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</si>
  <si>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</si>
  <si>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</si>
  <si>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</si>
  <si>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</si>
  <si>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</si>
  <si>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</si>
  <si>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</si>
  <si>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</si>
  <si>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</si>
  <si>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</si>
  <si>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Moeda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</si>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</sst>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0" fontId="13" fillId="0" borderId="0" xfId="3"/>
    <xf numFmtId="9" fontId="0" fillId="0" borderId="0" xfId="2" applyFont="1"/>
    <xf numFmtId="44" fontId="0" fillId="0" borderId="0" xfId="1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45663</v>
      </c>
      <c r="F11">
        <f ca="1">DAY(E11)</f>
        <v>6</v>
      </c>
      <c r="G11">
        <f ca="1">MONTH(E11)</f>
        <v>1</v>
      </c>
      <c r="H11" t="str">
        <f ca="1">TEXT(E11,"mmmm")</f>
        <v>janeiro</v>
      </c>
      <c r="I11">
        <f ca="1">YEAR(E11)</f>
        <v>2025</v>
      </c>
      <c r="J11" t="str">
        <f ca="1">TEXT(E11,"dd/mm/aaaa")</f>
        <v>06/01/2025</v>
      </c>
      <c r="K11" t="str">
        <f ca="1">TEXT(E11, "dd ""de"" mmmm ""de"" aaaa")</f>
        <v>06 de janeiro de 2025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R10"/>
  <sheetViews>
    <sheetView tabSelected="1" workbookViewId="0">
      <selection activeCell="G17" sqref="G17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1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10.07421875" bestFit="1" customWidth="1"/>
    <col min="13" max="13" width="6" bestFit="1" customWidth="1"/>
    <col min="14" max="14" width="7.4609375" bestFit="1" customWidth="1"/>
    <col min="15" max="15" width="4.07421875" bestFit="1" customWidth="1"/>
    <col min="16" max="16" width="5.3046875" bestFit="1" customWidth="1"/>
    <col min="17" max="17" width="7.69140625" bestFit="1" customWidth="1"/>
    <col min="18" max="18" width="6.3046875" bestFit="1" customWidth="1"/>
  </cols>
  <sheetData>
    <row r="1" spans="1:18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L1" t="s">
        <v>257</v>
      </c>
      <c r="M1" t="s">
        <v>258</v>
      </c>
      <c r="N1" t="s">
        <v>259</v>
      </c>
      <c r="O1" t="s">
        <v>81</v>
      </c>
      <c r="P1" t="s">
        <v>250</v>
      </c>
      <c r="Q1" t="s">
        <v>251</v>
      </c>
      <c r="R1" t="s">
        <v>260</v>
      </c>
    </row>
    <row r="2" spans="1:18" x14ac:dyDescent="0.4">
      <c r="A2" t="s">
        <v>261</v>
      </c>
      <c r="B2" s="69" t="s">
        <v>270</v>
      </c>
      <c r="C2" t="s">
        <v>274</v>
      </c>
      <c r="D2" s="71">
        <v>1471</v>
      </c>
      <c r="E2" s="70">
        <v>0.35</v>
      </c>
      <c r="F2" t="s">
        <v>283</v>
      </c>
      <c r="G2" s="69" t="s">
        <v>292</v>
      </c>
      <c r="H2" t="s">
        <v>293</v>
      </c>
      <c r="L2" s="9">
        <f ca="1">TODAY()+1</f>
        <v>45664</v>
      </c>
      <c r="M2">
        <v>48</v>
      </c>
    </row>
    <row r="3" spans="1:18" x14ac:dyDescent="0.4">
      <c r="A3" t="s">
        <v>262</v>
      </c>
      <c r="B3" s="69" t="s">
        <v>271</v>
      </c>
      <c r="C3" t="s">
        <v>275</v>
      </c>
      <c r="D3" s="71">
        <v>4257</v>
      </c>
      <c r="E3" s="70">
        <v>0.18</v>
      </c>
      <c r="F3" t="s">
        <v>284</v>
      </c>
      <c r="G3" s="69" t="s">
        <v>292</v>
      </c>
      <c r="H3" t="s">
        <v>294</v>
      </c>
      <c r="L3" s="9">
        <f ca="1">TODAY()+2</f>
        <v>45665</v>
      </c>
      <c r="M3">
        <v>464</v>
      </c>
    </row>
    <row r="4" spans="1:18" x14ac:dyDescent="0.4">
      <c r="A4" t="s">
        <v>263</v>
      </c>
      <c r="B4" s="69" t="s">
        <v>272</v>
      </c>
      <c r="C4" t="s">
        <v>282</v>
      </c>
      <c r="D4" s="71">
        <v>2200</v>
      </c>
      <c r="E4" s="70">
        <v>0.88</v>
      </c>
      <c r="F4" t="s">
        <v>285</v>
      </c>
      <c r="G4" s="69" t="s">
        <v>292</v>
      </c>
      <c r="H4" t="s">
        <v>293</v>
      </c>
      <c r="L4" s="9">
        <f ca="1">TODAY()+3</f>
        <v>45666</v>
      </c>
      <c r="M4">
        <v>900</v>
      </c>
    </row>
    <row r="5" spans="1:18" x14ac:dyDescent="0.4">
      <c r="A5" t="s">
        <v>264</v>
      </c>
      <c r="B5" s="69" t="s">
        <v>273</v>
      </c>
      <c r="C5" t="s">
        <v>276</v>
      </c>
      <c r="D5" s="71">
        <v>2405</v>
      </c>
      <c r="E5" s="70">
        <v>0.23</v>
      </c>
      <c r="F5" t="s">
        <v>286</v>
      </c>
      <c r="G5" s="69" t="s">
        <v>292</v>
      </c>
      <c r="H5" t="s">
        <v>294</v>
      </c>
      <c r="L5" s="9">
        <f ca="1">L4+1</f>
        <v>45667</v>
      </c>
      <c r="M5">
        <v>319</v>
      </c>
    </row>
    <row r="6" spans="1:18" x14ac:dyDescent="0.4">
      <c r="A6" t="s">
        <v>265</v>
      </c>
      <c r="B6" s="69" t="s">
        <v>270</v>
      </c>
      <c r="C6" t="s">
        <v>277</v>
      </c>
      <c r="D6" s="71">
        <v>2855</v>
      </c>
      <c r="E6" s="70">
        <v>0.56999999999999995</v>
      </c>
      <c r="F6" t="s">
        <v>287</v>
      </c>
      <c r="G6" s="69" t="s">
        <v>292</v>
      </c>
      <c r="H6" t="s">
        <v>293</v>
      </c>
      <c r="L6" s="9">
        <f t="shared" ref="L6:L10" ca="1" si="0">L5+1</f>
        <v>45668</v>
      </c>
      <c r="M6">
        <v>21</v>
      </c>
    </row>
    <row r="7" spans="1:18" x14ac:dyDescent="0.4">
      <c r="A7" t="s">
        <v>266</v>
      </c>
      <c r="B7" s="69" t="s">
        <v>271</v>
      </c>
      <c r="C7" t="s">
        <v>278</v>
      </c>
      <c r="D7" s="71">
        <v>2340</v>
      </c>
      <c r="E7" s="70">
        <v>0.14000000000000001</v>
      </c>
      <c r="F7" t="s">
        <v>288</v>
      </c>
      <c r="G7" s="69" t="s">
        <v>292</v>
      </c>
      <c r="H7" t="s">
        <v>294</v>
      </c>
      <c r="L7" s="9">
        <f t="shared" ca="1" si="0"/>
        <v>45669</v>
      </c>
      <c r="M7">
        <v>208</v>
      </c>
    </row>
    <row r="8" spans="1:18" x14ac:dyDescent="0.4">
      <c r="A8" t="s">
        <v>267</v>
      </c>
      <c r="B8" s="69" t="s">
        <v>272</v>
      </c>
      <c r="C8" t="s">
        <v>279</v>
      </c>
      <c r="D8" s="71">
        <v>3154</v>
      </c>
      <c r="E8" s="70">
        <v>0.16</v>
      </c>
      <c r="F8" t="s">
        <v>289</v>
      </c>
      <c r="G8" s="69" t="s">
        <v>292</v>
      </c>
      <c r="H8" t="s">
        <v>293</v>
      </c>
      <c r="L8" s="9">
        <f t="shared" ca="1" si="0"/>
        <v>45670</v>
      </c>
      <c r="M8">
        <v>388</v>
      </c>
    </row>
    <row r="9" spans="1:18" x14ac:dyDescent="0.4">
      <c r="A9" t="s">
        <v>268</v>
      </c>
      <c r="B9" s="69" t="s">
        <v>273</v>
      </c>
      <c r="C9" t="s">
        <v>280</v>
      </c>
      <c r="D9" s="71">
        <v>3745</v>
      </c>
      <c r="E9" s="70">
        <v>0.78</v>
      </c>
      <c r="F9" t="s">
        <v>290</v>
      </c>
      <c r="G9" s="69" t="s">
        <v>292</v>
      </c>
      <c r="H9" t="s">
        <v>294</v>
      </c>
      <c r="L9" s="9">
        <f t="shared" ca="1" si="0"/>
        <v>45671</v>
      </c>
      <c r="M9">
        <v>139</v>
      </c>
    </row>
    <row r="10" spans="1:18" x14ac:dyDescent="0.4">
      <c r="A10" t="s">
        <v>269</v>
      </c>
      <c r="B10" s="69" t="s">
        <v>270</v>
      </c>
      <c r="C10" t="s">
        <v>281</v>
      </c>
      <c r="D10" s="71">
        <v>4068</v>
      </c>
      <c r="E10" s="70">
        <v>0.2</v>
      </c>
      <c r="F10" t="s">
        <v>291</v>
      </c>
      <c r="G10" s="69" t="s">
        <v>292</v>
      </c>
      <c r="H10" t="s">
        <v>293</v>
      </c>
      <c r="L10" s="9">
        <f t="shared" ca="1" si="0"/>
        <v>45672</v>
      </c>
      <c r="M10">
        <v>377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2" r:id="rId10" xr:uid="{AE1C0C82-401E-4D57-8F39-BD6FDF4299C8}"/>
    <hyperlink ref="G3:G10" r:id="rId11" display="https://www.google.com" xr:uid="{944923FE-AA81-4203-9868-410D9B0FBE73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2025-01-06T23:02:46Z</dcterms:modified>
</cp:coreProperties>
</file>