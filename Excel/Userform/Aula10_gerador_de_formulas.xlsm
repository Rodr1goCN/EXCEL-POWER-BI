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90EB0C1F-F207-4EDA-BC57-25516DB92D1E}" xr6:coauthVersionLast="47" xr6:coauthVersionMax="47" xr10:uidLastSave="{00000000-0000-0000-0000-000000000000}"/>
  <bookViews>
    <workbookView xWindow="-86" yWindow="0" windowWidth="16629" windowHeight="17880" firstSheet="17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  <sheet name="AutoFormatação" sheetId="19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9" l="1"/>
  <c r="L5" i="19" s="1"/>
  <c r="L6" i="19" s="1"/>
  <c r="L7" i="19" s="1"/>
  <c r="L8" i="19" s="1"/>
  <c r="L9" i="19" s="1"/>
  <c r="L10" i="19" s="1"/>
  <c r="L3" i="19"/>
  <c r="L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<sst xmlns="http://schemas.openxmlformats.org/spreadsheetml/2006/main" count="780" uniqueCount="299">
  <si>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</si>
  <si>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</si>
  <si>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</si>
  <si>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</si>
  <si>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</si>
  <si>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</si>
  <si>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</si>
  <si>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</si>
  <si>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</si>
  <si>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</si>
  <si>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</si>
  <si>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</si>
  <si>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</si>
  <si>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</si>
  <si>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</si>
  <si>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</si>
  <si>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</si>
  <si>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</si>
  <si>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</si>
  <si>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</si>
  <si>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</si>
  <si>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</si>
  <si>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</si>
  <si>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</si>
  <si>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</si>
  <si>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</si>
  <si>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</si>
  <si>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</si>
  <si>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</si>
  <si>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</si>
  <si>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</si>
  <si>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</si>
  <si>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</si>
  <si>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</si>
  <si>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</si>
  <si>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</si>
  <si>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</si>
  <si>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</si>
  <si>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</si>
  <si>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</si>
  <si>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</si>
  <si>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</si>
  <si>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</si>
  <si>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</si>
  <si>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</si>
  <si>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</si>
  <si>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</si>
  <si>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</si>
  <si>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</si>
  <si>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</si>
  <si>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</si>
  <si>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</si>
  <si>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</si>
  <si>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</si>
  <si>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</si>
  <si>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</si>
  <si>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</si>
  <si>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</si>
  <si>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</si>
  <si>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</si>
  <si>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</si>
  <si>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</si>
  <si>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</si>
  <si>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</si>
  <si>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</si>
  <si>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</si>
  <si>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</si>
  <si>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</si>
  <si>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</si>
  <si>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</si>
  <si>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</si>
  <si>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</si>
  <si>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</si>
  <si>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</si>
  <si>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</si>
  <si>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</si>
  <si>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</si>
  <si>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</si>
  <si>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</si>
  <si>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</si>
  <si>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</si>
  <si>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</si>
  <si>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</si>
  <si>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</si>
  <si>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</si>
  <si>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</si>
  <si>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</si>
  <si>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</si>
  <si>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</si>
  <si>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</si>
  <si>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</si>
  <si>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</si>
  <si>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</si>
  <si>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</si>
  <si>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</si>
  <si>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</si>
  <si>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</si>
  <si>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</si>
  <si>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</si>
  <si>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</si>
  <si>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</si>
  <si>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</si>
  <si>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</si>
  <si>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</si>
  <si>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</si>
  <si>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</si>
  <si>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</si>
  <si>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</si>
  <si>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</si>
  <si>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</si>
  <si>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</si>
  <si>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</si>
  <si>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</si>
  <si>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</si>
  <si>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</si>
  <si>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</si>
  <si>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</si>
  <si>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</si>
  <si>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</si>
  <si>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</si>
  <si>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</si>
  <si>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</si>
  <si>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</si>
  <si>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</si>
  <si>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</si>
  <si>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</si>
  <si>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</si>
  <si>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</si>
  <si>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</si>
  <si>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</si>
  <si>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</si>
  <si>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</si>
  <si>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</si>
  <si>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</si>
  <si>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</si>
  <si>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</si>
  <si>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</si>
  <si>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</si>
  <si>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</si>
  <si>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</si>
  <si>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</si>
  <si>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</si>
  <si>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</si>
  <si>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</si>
  <si>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</si>
  <si>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</si>
  <si>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</si>
  <si>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</si>
  <si>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</si>
  <si>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</si>
  <si>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</si>
  <si>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</si>
  <si>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</si>
  <si>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</si>
  <si>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</si>
  <si>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</si>
  <si>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</si>
  <si>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</si>
  <si>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</si>
  <si>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</si>
  <si>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</si>
  <si>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</si>
  <si>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</si>
  <si>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</si>
  <si>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</si>
  <si>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</si>
  <si>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</si>
  <si>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</si>
  <si>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</si>
  <si>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</si>
  <si>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</si>
  <si>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</si>
  <si>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</si>
  <si>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</si>
  <si>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</si>
  <si>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</si>
  <si>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</si>
  <si>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</si>
  <si>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</si>
  <si>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</si>
  <si>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</si>
  <si>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</si>
  <si>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</si>
  <si>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</si>
  <si>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</si>
  <si>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</si>
  <si>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</si>
  <si>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</si>
  <si>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</si>
  <si>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</si>
  <si>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</si>
  <si>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</si>
  <si>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</si>
  <si>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</si>
  <si>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</si>
  <si>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</si>
  <si>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</si>
  <si>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</si>
  <si>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</si>
  <si>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</si>
  <si>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</si>
  <si>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</si>
  <si>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</si>
  <si>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</si>
  <si>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</si>
  <si>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</si>
  <si>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</si>
  <si>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</si>
  <si>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</si>
  <si>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</si>
  <si>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</si>
  <si>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</si>
  <si>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</si>
  <si>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</si>
  <si>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</si>
  <si>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</si>
  <si>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</si>
  <si>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</si>
  <si>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</si>
  <si>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</si>
  <si>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</si>
  <si>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</si>
  <si>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</si>
  <si>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</si>
  <si>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</si>
  <si>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</si>
  <si>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</si>
  <si>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</si>
  <si>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</si>
  <si>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</si>
  <si>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</si>
  <si>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</si>
  <si>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</si>
  <si>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</si>
  <si>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</si>
  <si>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</si>
  <si>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</si>
  <si>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</si>
  <si>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</si>
  <si>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</si>
  <si>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</si>
  <si>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</si>
  <si>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</si>
  <si>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</si>
  <si>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</si>
  <si>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</si>
  <si>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</si>
  <si>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</si>
  <si>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</si>
  <si>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</si>
  <si>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</si>
  <si>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</si>
  <si>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 xml:space="preserve">Moeda </t>
  </si>
  <si>
    <t>Porcentagem</t>
  </si>
  <si>
    <t>CEP</t>
  </si>
  <si>
    <t>URL</t>
  </si>
  <si>
    <t>BOOLEANO</t>
  </si>
  <si>
    <t>Data</t>
  </si>
  <si>
    <t>Inteiro</t>
  </si>
  <si>
    <t>Decimal</t>
  </si>
  <si>
    <t>123.456.789.10</t>
  </si>
  <si>
    <t>123.456.789.11</t>
  </si>
  <si>
    <t>123.456.789.12</t>
  </si>
  <si>
    <t>123.456.789.13</t>
  </si>
  <si>
    <t>123.456.789.14</t>
  </si>
  <si>
    <t>123.456.789.15</t>
  </si>
  <si>
    <t>123.456.789.16</t>
  </si>
  <si>
    <t>123.456.789.17</t>
  </si>
  <si>
    <t>123.456.789.18</t>
  </si>
  <si>
    <t>exemplo@email.com.br</t>
  </si>
  <si>
    <t>usuario@provedor.com</t>
  </si>
  <si>
    <t>noome@dominio.org</t>
  </si>
  <si>
    <t>exemplo123@provedor.org</t>
  </si>
  <si>
    <t>(123)456-7890</t>
  </si>
  <si>
    <t>(123)456-7891</t>
  </si>
  <si>
    <t>(123)456-7893</t>
  </si>
  <si>
    <t>(123)456-7894</t>
  </si>
  <si>
    <t>(123)456-7895</t>
  </si>
  <si>
    <t>(123)456-7896</t>
  </si>
  <si>
    <t>(123)456-7897</t>
  </si>
  <si>
    <t>(123)456-7898</t>
  </si>
  <si>
    <t>(123)456-7892</t>
  </si>
  <si>
    <t>12345-456</t>
  </si>
  <si>
    <t>12345-457</t>
  </si>
  <si>
    <t>12345-458</t>
  </si>
  <si>
    <t>12345-459</t>
  </si>
  <si>
    <t>12345-460</t>
  </si>
  <si>
    <t>12345-461</t>
  </si>
  <si>
    <t>12345-462</t>
  </si>
  <si>
    <t>12345-463</t>
  </si>
  <si>
    <t>12345-464</t>
  </si>
  <si>
    <t>https://www.google.com</t>
  </si>
  <si>
    <t>true</t>
  </si>
  <si>
    <t>false</t>
  </si>
  <si>
    <t>exemplo@email.com</t>
  </si>
  <si>
    <t xml:space="preserve">(987)654-3120 </t>
  </si>
  <si>
    <t>(987)654-3121</t>
  </si>
  <si>
    <t>(987)654-3122</t>
  </si>
  <si>
    <t>(987)654-3123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</si>
</sst>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  <numFmt numFmtId="165" formatCode="dd/mm/yyyy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  <xf numFmtId="9" fontId="0" fillId="0" borderId="0" xfId="2" applyFont="1"/>
    <xf numFmtId="165" fontId="0" fillId="0" borderId="0" xfId="0" applyNumberFormat="1"/>
    <xf numFmtId="1" fontId="0" fillId="0" borderId="0" xfId="0" applyNumberFormat="1"/>
    <xf numFmtId="1" fontId="13" fillId="0" borderId="0" xfId="3" applyNumberFormat="1"/>
    <xf numFmtId="1" fontId="0" fillId="0" borderId="0" xfId="1" applyNumberFormat="1" applyFont="1"/>
    <xf numFmtId="49" fontId="0" fillId="0" borderId="0" xfId="0" applyNumberFormat="1"/>
    <xf numFmtId="0" fontId="0" fillId="0" borderId="0" xfId="0" applyFill="1"/>
    <xf numFmtId="0" fontId="0" fillId="0" borderId="0" xfId="0" applyNumberForma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noome@dominio.org" TargetMode="External"/><Relationship Id="rId3" Type="http://schemas.openxmlformats.org/officeDocument/2006/relationships/hyperlink" Target="mailto:noome@dominio.org" TargetMode="External"/><Relationship Id="rId7" Type="http://schemas.openxmlformats.org/officeDocument/2006/relationships/hyperlink" Target="mailto:usuario@provedor.com" TargetMode="External"/><Relationship Id="rId2" Type="http://schemas.openxmlformats.org/officeDocument/2006/relationships/hyperlink" Target="mailto:usuario@provedor.com" TargetMode="External"/><Relationship Id="rId1" Type="http://schemas.openxmlformats.org/officeDocument/2006/relationships/hyperlink" Target="mailto:exemplo@email.com.br" TargetMode="External"/><Relationship Id="rId6" Type="http://schemas.openxmlformats.org/officeDocument/2006/relationships/hyperlink" Target="mailto:exemplo123@provedor.org" TargetMode="External"/><Relationship Id="rId11" Type="http://schemas.openxmlformats.org/officeDocument/2006/relationships/hyperlink" Target="https://www.google.com/" TargetMode="External"/><Relationship Id="rId5" Type="http://schemas.openxmlformats.org/officeDocument/2006/relationships/hyperlink" Target="mailto:exemplo@email.com.br" TargetMode="External"/><Relationship Id="rId10" Type="http://schemas.openxmlformats.org/officeDocument/2006/relationships/hyperlink" Target="https://www.google.com/" TargetMode="External"/><Relationship Id="rId4" Type="http://schemas.openxmlformats.org/officeDocument/2006/relationships/hyperlink" Target="mailto:exemplo123@provedor.org" TargetMode="External"/><Relationship Id="rId9" Type="http://schemas.openxmlformats.org/officeDocument/2006/relationships/hyperlink" Target="mailto:exemplo123@provedor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45666</v>
      </c>
      <c r="F11">
        <f ca="1">DAY(E11)</f>
        <v>9</v>
      </c>
      <c r="G11">
        <f ca="1">MONTH(E11)</f>
        <v>1</v>
      </c>
      <c r="H11" t="str">
        <f ca="1">TEXT(E11,"mmmm")</f>
        <v>janeiro</v>
      </c>
      <c r="I11">
        <f ca="1">YEAR(E11)</f>
        <v>2025</v>
      </c>
      <c r="J11" t="str">
        <f ca="1">TEXT(E11,"dd/mm/aaaa")</f>
        <v>09/01/2025</v>
      </c>
      <c r="K11" t="str">
        <f ca="1">TEXT(E11, "dd ""de"" mmmm ""de"" aaaa")</f>
        <v>09 de janeiro de 2025</v>
      </c>
      <c r="L11" t="str">
        <f ca="1">TEXT(E11,"dddd")</f>
        <v>quinta-feira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R10"/>
  <sheetViews>
    <sheetView tabSelected="1" topLeftCell="G1" workbookViewId="0">
      <selection activeCell="L1" sqref="L1:R10"/>
    </sheetView>
  </sheetViews>
  <sheetFormatPr defaultColWidth="4.15234375" defaultRowHeight="14.6" x14ac:dyDescent="0.4"/>
  <cols>
    <col min="1" max="1" width="13.53515625" bestFit="1" customWidth="1"/>
    <col min="2" max="2" width="22.69140625" bestFit="1" customWidth="1"/>
    <col min="3" max="3" width="12.69140625" bestFit="1" customWidth="1"/>
    <col min="4" max="4" width="13.61328125" bestFit="1" customWidth="1"/>
    <col min="5" max="5" width="11.53515625" bestFit="1" customWidth="1"/>
    <col min="6" max="6" width="9.4609375" bestFit="1" customWidth="1"/>
    <col min="7" max="7" width="20.6914062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10.07421875" bestFit="1" customWidth="1"/>
    <col min="13" max="13" width="6" bestFit="1" customWidth="1"/>
    <col min="14" max="14" width="7.4609375" bestFit="1" customWidth="1"/>
    <col min="15" max="15" width="11.84375" bestFit="1" customWidth="1"/>
    <col min="16" max="16" width="17.921875" bestFit="1" customWidth="1"/>
    <col min="17" max="17" width="13.15234375" bestFit="1" customWidth="1"/>
    <col min="18" max="18" width="9.4609375" bestFit="1" customWidth="1"/>
  </cols>
  <sheetData>
    <row r="1" spans="1:18" x14ac:dyDescent="0.4">
      <c r="A1" t="s">
        <v>81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L1" t="s">
        <v>257</v>
      </c>
      <c r="M1" t="s">
        <v>258</v>
      </c>
      <c r="N1" t="s">
        <v>259</v>
      </c>
      <c r="O1" t="s">
        <v>81</v>
      </c>
      <c r="P1" t="s">
        <v>250</v>
      </c>
      <c r="Q1" t="s">
        <v>251</v>
      </c>
      <c r="R1" t="s">
        <v>254</v>
      </c>
    </row>
    <row r="2" spans="1:18" x14ac:dyDescent="0.4">
      <c r="A2" s="70" t="s">
        <v>260</v>
      </c>
      <c r="B2" s="72" t="s">
        <v>269</v>
      </c>
      <c r="C2" s="71" t="s">
        <v>273</v>
      </c>
      <c r="D2" s="73">
        <v>1471</v>
      </c>
      <c r="E2" s="69">
        <v>0.35</v>
      </c>
      <c r="F2" s="74" t="s">
        <v>282</v>
      </c>
      <c r="G2" s="72" t="s">
        <v>291</v>
      </c>
      <c r="H2" t="s">
        <v>292</v>
      </c>
      <c r="L2" s="76">
        <f ca="1">TODAY()+1</f>
        <v>45667</v>
      </c>
      <c r="M2">
        <v>48</v>
      </c>
      <c r="N2">
        <v>59</v>
      </c>
      <c r="O2">
        <v>12345678910</v>
      </c>
      <c r="P2" s="75" t="s">
        <v>294</v>
      </c>
      <c r="Q2" t="s">
        <v>273</v>
      </c>
      <c r="R2">
        <v>12345678</v>
      </c>
    </row>
    <row r="3" spans="1:18" x14ac:dyDescent="0.4">
      <c r="A3" s="70" t="s">
        <v>261</v>
      </c>
      <c r="B3" s="72" t="s">
        <v>270</v>
      </c>
      <c r="C3" s="71" t="s">
        <v>274</v>
      </c>
      <c r="D3" s="73">
        <v>4257</v>
      </c>
      <c r="E3" s="69">
        <v>0.18</v>
      </c>
      <c r="F3" s="74" t="s">
        <v>283</v>
      </c>
      <c r="G3" s="72" t="s">
        <v>291</v>
      </c>
      <c r="H3" t="s">
        <v>293</v>
      </c>
      <c r="L3" s="76">
        <f ca="1">TODAY()+2</f>
        <v>45668</v>
      </c>
      <c r="M3">
        <v>464</v>
      </c>
      <c r="N3">
        <v>55</v>
      </c>
      <c r="O3">
        <v>12345678911</v>
      </c>
      <c r="P3" s="75" t="s">
        <v>294</v>
      </c>
      <c r="Q3" t="s">
        <v>295</v>
      </c>
      <c r="R3">
        <v>12345679</v>
      </c>
    </row>
    <row r="4" spans="1:18" x14ac:dyDescent="0.4">
      <c r="A4" s="70" t="s">
        <v>262</v>
      </c>
      <c r="B4" s="72" t="s">
        <v>271</v>
      </c>
      <c r="C4" s="71" t="s">
        <v>281</v>
      </c>
      <c r="D4" s="73">
        <v>2200</v>
      </c>
      <c r="E4" s="69">
        <v>0.88</v>
      </c>
      <c r="F4" s="74" t="s">
        <v>284</v>
      </c>
      <c r="G4" s="72" t="s">
        <v>291</v>
      </c>
      <c r="H4" t="s">
        <v>292</v>
      </c>
      <c r="L4" s="76">
        <f ca="1">TODAY()+3</f>
        <v>45669</v>
      </c>
      <c r="M4">
        <v>900</v>
      </c>
      <c r="N4">
        <v>51</v>
      </c>
      <c r="O4">
        <v>12345678912</v>
      </c>
      <c r="P4" s="75" t="s">
        <v>294</v>
      </c>
      <c r="Q4" t="s">
        <v>274</v>
      </c>
      <c r="R4">
        <v>12345680</v>
      </c>
    </row>
    <row r="5" spans="1:18" x14ac:dyDescent="0.4">
      <c r="A5" s="70" t="s">
        <v>263</v>
      </c>
      <c r="B5" s="72" t="s">
        <v>272</v>
      </c>
      <c r="C5" s="71" t="s">
        <v>275</v>
      </c>
      <c r="D5" s="73">
        <v>2405</v>
      </c>
      <c r="E5" s="69">
        <v>0.23</v>
      </c>
      <c r="F5" s="74" t="s">
        <v>285</v>
      </c>
      <c r="G5" s="72" t="s">
        <v>291</v>
      </c>
      <c r="H5" t="s">
        <v>293</v>
      </c>
      <c r="L5" s="76">
        <f ca="1">L4+1</f>
        <v>45670</v>
      </c>
      <c r="M5">
        <v>319</v>
      </c>
      <c r="N5">
        <v>35</v>
      </c>
      <c r="O5">
        <v>12345678913</v>
      </c>
      <c r="P5" s="75" t="s">
        <v>294</v>
      </c>
      <c r="Q5" t="s">
        <v>296</v>
      </c>
      <c r="R5">
        <v>12345681</v>
      </c>
    </row>
    <row r="6" spans="1:18" x14ac:dyDescent="0.4">
      <c r="A6" s="70" t="s">
        <v>264</v>
      </c>
      <c r="B6" s="72" t="s">
        <v>269</v>
      </c>
      <c r="C6" s="71" t="s">
        <v>276</v>
      </c>
      <c r="D6" s="73">
        <v>2855</v>
      </c>
      <c r="E6" s="69">
        <v>0.56999999999999995</v>
      </c>
      <c r="F6" s="74" t="s">
        <v>286</v>
      </c>
      <c r="G6" s="72" t="s">
        <v>291</v>
      </c>
      <c r="H6" t="s">
        <v>292</v>
      </c>
      <c r="L6" s="76">
        <f t="shared" ref="L6:L10" ca="1" si="0">L5+1</f>
        <v>45671</v>
      </c>
      <c r="M6">
        <v>21</v>
      </c>
      <c r="N6">
        <v>52</v>
      </c>
      <c r="O6">
        <v>12345678914</v>
      </c>
      <c r="P6" s="75" t="s">
        <v>294</v>
      </c>
      <c r="Q6" t="s">
        <v>281</v>
      </c>
      <c r="R6">
        <v>12345682</v>
      </c>
    </row>
    <row r="7" spans="1:18" x14ac:dyDescent="0.4">
      <c r="A7" s="70" t="s">
        <v>265</v>
      </c>
      <c r="B7" s="72" t="s">
        <v>270</v>
      </c>
      <c r="C7" s="71" t="s">
        <v>277</v>
      </c>
      <c r="D7" s="73">
        <v>2340</v>
      </c>
      <c r="E7" s="69">
        <v>0.14000000000000001</v>
      </c>
      <c r="F7" s="74" t="s">
        <v>287</v>
      </c>
      <c r="G7" s="72" t="s">
        <v>291</v>
      </c>
      <c r="H7" t="s">
        <v>293</v>
      </c>
      <c r="L7" s="76">
        <f t="shared" ca="1" si="0"/>
        <v>45672</v>
      </c>
      <c r="M7">
        <v>208</v>
      </c>
      <c r="N7">
        <v>80</v>
      </c>
      <c r="O7">
        <v>12345678915</v>
      </c>
      <c r="P7" s="75" t="s">
        <v>294</v>
      </c>
      <c r="Q7" t="s">
        <v>297</v>
      </c>
      <c r="R7">
        <v>12345683</v>
      </c>
    </row>
    <row r="8" spans="1:18" x14ac:dyDescent="0.4">
      <c r="A8" s="70" t="s">
        <v>266</v>
      </c>
      <c r="B8" s="72" t="s">
        <v>271</v>
      </c>
      <c r="C8" s="71" t="s">
        <v>278</v>
      </c>
      <c r="D8" s="73">
        <v>3154</v>
      </c>
      <c r="E8" s="69">
        <v>0.16</v>
      </c>
      <c r="F8" s="74" t="s">
        <v>288</v>
      </c>
      <c r="G8" s="72" t="s">
        <v>291</v>
      </c>
      <c r="H8" t="s">
        <v>292</v>
      </c>
      <c r="L8" s="76">
        <f t="shared" ca="1" si="0"/>
        <v>45673</v>
      </c>
      <c r="M8">
        <v>388</v>
      </c>
      <c r="N8">
        <v>27</v>
      </c>
      <c r="O8">
        <v>12345678916</v>
      </c>
      <c r="P8" s="75" t="s">
        <v>294</v>
      </c>
      <c r="Q8" t="s">
        <v>275</v>
      </c>
      <c r="R8">
        <v>12345684</v>
      </c>
    </row>
    <row r="9" spans="1:18" x14ac:dyDescent="0.4">
      <c r="A9" s="70" t="s">
        <v>267</v>
      </c>
      <c r="B9" s="72" t="s">
        <v>272</v>
      </c>
      <c r="C9" s="71" t="s">
        <v>279</v>
      </c>
      <c r="D9" s="73">
        <v>3745</v>
      </c>
      <c r="E9" s="69">
        <v>0.78</v>
      </c>
      <c r="F9" s="74" t="s">
        <v>289</v>
      </c>
      <c r="G9" s="72" t="s">
        <v>291</v>
      </c>
      <c r="H9" t="s">
        <v>293</v>
      </c>
      <c r="L9" s="76">
        <f t="shared" ca="1" si="0"/>
        <v>45674</v>
      </c>
      <c r="M9">
        <v>139</v>
      </c>
      <c r="N9">
        <v>17</v>
      </c>
      <c r="O9">
        <v>12345678917</v>
      </c>
      <c r="P9" s="75" t="s">
        <v>294</v>
      </c>
      <c r="Q9" t="s">
        <v>298</v>
      </c>
      <c r="R9">
        <v>12345685</v>
      </c>
    </row>
    <row r="10" spans="1:18" x14ac:dyDescent="0.4">
      <c r="A10" s="70" t="s">
        <v>268</v>
      </c>
      <c r="B10" s="72" t="s">
        <v>269</v>
      </c>
      <c r="C10" s="71" t="s">
        <v>280</v>
      </c>
      <c r="D10" s="73">
        <v>4068</v>
      </c>
      <c r="E10" s="69">
        <v>0.2</v>
      </c>
      <c r="F10" s="74" t="s">
        <v>290</v>
      </c>
      <c r="G10" s="72" t="s">
        <v>291</v>
      </c>
      <c r="H10" t="s">
        <v>292</v>
      </c>
      <c r="L10" s="76">
        <f t="shared" ca="1" si="0"/>
        <v>45675</v>
      </c>
      <c r="M10">
        <v>377</v>
      </c>
      <c r="N10">
        <v>26</v>
      </c>
      <c r="O10">
        <v>12345678918</v>
      </c>
      <c r="P10" s="75" t="s">
        <v>294</v>
      </c>
      <c r="Q10" t="s">
        <v>276</v>
      </c>
      <c r="R10">
        <v>12345686</v>
      </c>
    </row>
  </sheetData>
  <phoneticPr fontId="1" type="noConversion"/>
  <hyperlinks>
    <hyperlink ref="B2" r:id="rId1" xr:uid="{D4331A67-DECB-45EF-8924-C37945EE1407}"/>
    <hyperlink ref="B3" r:id="rId2" xr:uid="{16177137-5A01-4B3D-ABD0-319A6A553A04}"/>
    <hyperlink ref="B4" r:id="rId3" xr:uid="{937484E4-D600-444F-9DEE-A35D4FDBF4C7}"/>
    <hyperlink ref="B5" r:id="rId4" xr:uid="{4520D04A-B060-4BD6-A312-331C966771F3}"/>
    <hyperlink ref="B6" r:id="rId5" xr:uid="{656DB283-BE40-469B-B3A0-4FAC88006BFF}"/>
    <hyperlink ref="B10" r:id="rId6" display="exemplo123@provedor.org" xr:uid="{FFA9E93C-1975-4F01-B97D-5EBC1EB1B2AD}"/>
    <hyperlink ref="B7" r:id="rId7" xr:uid="{9A75C882-A5E5-41A8-8032-CC4AF9BBA7D1}"/>
    <hyperlink ref="B8" r:id="rId8" xr:uid="{3246BE5C-7459-4F1F-8889-A5CC86534B12}"/>
    <hyperlink ref="B9" r:id="rId9" xr:uid="{A62CF3FA-278E-447F-9C12-4158EDACE2A8}"/>
    <hyperlink ref="G3:G10" r:id="rId10" display="https://www.google.com" xr:uid="{944923FE-AA81-4203-9868-410D9B0FBE73}"/>
    <hyperlink ref="G2" r:id="rId11" xr:uid="{AE1C0C82-401E-4D57-8F39-BD6FDF4299C8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  <vt:lpstr>AutoFormatação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2025-01-09T06:39:44Z</dcterms:modified>
</cp:coreProperties>
</file>