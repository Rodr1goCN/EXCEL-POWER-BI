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25A8AF7E-BF25-4ECD-81BD-8A1476063E54}" xr6:coauthVersionLast="47" xr6:coauthVersionMax="47" xr10:uidLastSave="{00000000-0000-0000-0000-000000000000}"/>
  <bookViews>
    <workbookView xWindow="-86" yWindow="0" windowWidth="16629" windowHeight="17880" activeTab="3" xr2:uid="{3B208F98-D8B1-4BB6-ACA5-1E43EFF023A2}"/>
  </bookViews>
  <sheets>
    <sheet name="Perguntas" sheetId="1" r:id="rId1"/>
    <sheet name="Candidatos" sheetId="2" r:id="rId2"/>
    <sheet name="Resultados" sheetId="3" r:id="rId3"/>
    <sheet name="Detalh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6" i="4" l="1"/>
  <c r="C141" i="4"/>
  <c r="E148" i="4" s="1"/>
  <c r="G148" i="4" s="1"/>
  <c r="E132" i="4"/>
  <c r="C127" i="4"/>
  <c r="E134" i="4" s="1"/>
  <c r="G134" i="4" s="1"/>
  <c r="E118" i="4"/>
  <c r="C113" i="4"/>
  <c r="E120" i="4" s="1"/>
  <c r="G120" i="4" s="1"/>
  <c r="E104" i="4"/>
  <c r="C99" i="4"/>
  <c r="E106" i="4" s="1"/>
  <c r="G106" i="4" s="1"/>
  <c r="E90" i="4"/>
  <c r="C85" i="4"/>
  <c r="E92" i="4"/>
  <c r="G92" i="4" s="1"/>
  <c r="E76" i="4"/>
  <c r="C71" i="4"/>
  <c r="E78" i="4" s="1"/>
  <c r="G78" i="4" s="1"/>
  <c r="E62" i="4"/>
  <c r="C57" i="4"/>
  <c r="E64" i="4" s="1"/>
  <c r="G64" i="4" s="1"/>
  <c r="E48" i="4"/>
  <c r="C43" i="4"/>
  <c r="E50" i="4" s="1"/>
  <c r="G50" i="4" s="1"/>
  <c r="E34" i="4"/>
  <c r="C29" i="4"/>
  <c r="E36" i="4" s="1"/>
  <c r="G36" i="4" s="1"/>
  <c r="E20" i="4"/>
  <c r="C15" i="4"/>
  <c r="E22" i="4" s="1"/>
  <c r="G22" i="4" s="1"/>
  <c r="G20" i="4" l="1"/>
  <c r="E24" i="4"/>
  <c r="E150" i="4"/>
  <c r="G146" i="4"/>
  <c r="E136" i="4"/>
  <c r="G132" i="4"/>
  <c r="E122" i="4"/>
  <c r="G118" i="4"/>
  <c r="E108" i="4"/>
  <c r="G104" i="4"/>
  <c r="E94" i="4"/>
  <c r="G90" i="4"/>
  <c r="E80" i="4"/>
  <c r="G76" i="4"/>
  <c r="E66" i="4"/>
  <c r="G62" i="4"/>
  <c r="E52" i="4"/>
  <c r="G48" i="4"/>
  <c r="E38" i="4"/>
  <c r="G34" i="4"/>
</calcChain>
</file>

<file path=xl/sharedStrings.xml><?xml version="1.0" encoding="utf-8"?>
<sst xmlns="http://schemas.openxmlformats.org/spreadsheetml/2006/main" count="199" uniqueCount="119">
  <si>
    <t>Pergunta</t>
  </si>
  <si>
    <t>Opção A</t>
  </si>
  <si>
    <t>Opção B</t>
  </si>
  <si>
    <t>Opção C</t>
  </si>
  <si>
    <t>Opção D</t>
  </si>
  <si>
    <t>Resposta</t>
  </si>
  <si>
    <t>Explicação</t>
  </si>
  <si>
    <t>Qual é a função no Excel para somar um intervalo de células?</t>
  </si>
  <si>
    <t>SOMA()</t>
  </si>
  <si>
    <t>TOTAL()</t>
  </si>
  <si>
    <t>ADD()</t>
  </si>
  <si>
    <t>RANGE()</t>
  </si>
  <si>
    <t>a</t>
  </si>
  <si>
    <t>No Excel, a função para somar um intervalo de células é a função SOMA(). Ela retorna a soma dos valores dentro do intervalo especificado.</t>
  </si>
  <si>
    <t>Qual é a função no Excel para calcular a média de um intervalo de valores?</t>
  </si>
  <si>
    <t>AVG()</t>
  </si>
  <si>
    <t>MÉDIA()</t>
  </si>
  <si>
    <t>MEAN()</t>
  </si>
  <si>
    <t>MEDIAN()</t>
  </si>
  <si>
    <t>b</t>
  </si>
  <si>
    <t>A função no Excel para calcular a média de um intervalo de valores é a função MÉDIA(). Ela retorna a média aritmética dos números dentro do intervalo especificado.</t>
  </si>
  <si>
    <t>Qual é a função no Excel para encontrar o valor máximo em um intervalo de células?</t>
  </si>
  <si>
    <t>MÁXIMO()</t>
  </si>
  <si>
    <t>HIGH()</t>
  </si>
  <si>
    <t>MAXIMUM()</t>
  </si>
  <si>
    <t>MAXVAL()</t>
  </si>
  <si>
    <t>A função no Excel para encontrar o valor máximo em um intervalo de células é a função MÁXIMO(). Ela retorna o maior valor dentro do intervalo especificado.</t>
  </si>
  <si>
    <t>Como você pode aplicar uma formatação condicional no Excel?</t>
  </si>
  <si>
    <t>Não é possível aplicar formatação condicional no Excel</t>
  </si>
  <si>
    <t>Usando a função "Pintar"</t>
  </si>
  <si>
    <t>Usando a função "Formatação Condicional"</t>
  </si>
  <si>
    <t>Digitando manualmente</t>
  </si>
  <si>
    <t>c</t>
  </si>
  <si>
    <t>Você pode aplicar formatação condicional no Excel usando a função "Formatação Condicional" que permite formatar as células com base em regras específicas. Isso é útil para destacar dados com base em critérios predefinidos.</t>
  </si>
  <si>
    <t>Qual é a função no Excel para contar o número de células preenchidas em um intervalo?</t>
  </si>
  <si>
    <t>COUNT()</t>
  </si>
  <si>
    <t>CONT.VALORES()</t>
  </si>
  <si>
    <t>COUNTIF()</t>
  </si>
  <si>
    <t>TOTALCOUNT()</t>
  </si>
  <si>
    <t>A função no Excel para contar o número de células preenchidas em um intervalo é a função CONT.VALORES(). Ela retorna a contagem de todas as células que contêm algum tipo de dado, incluindo texto, números e datas.</t>
  </si>
  <si>
    <t>Como você pode congelar as primeiras linhas e colunas em uma planilha do Excel?</t>
  </si>
  <si>
    <t>Não é possível congelar linhas e colunas no Excel</t>
  </si>
  <si>
    <t>Usando o "Congelar Painéis"</t>
  </si>
  <si>
    <t>Aplicando uma fórmula especial</t>
  </si>
  <si>
    <t>Para congelar as primeiras linhas e colunas em uma planilha do Excel, você pode usar o "Congelar Painéis" que permite manter as linhas e colunas selecionadas visíveis enquanto você rola pela planilha.</t>
  </si>
  <si>
    <t>Qual é a função no Excel para encontrar o valor mínimo em um intervalo de células?</t>
  </si>
  <si>
    <t>MÍNIMO()</t>
  </si>
  <si>
    <t>LOW()</t>
  </si>
  <si>
    <t>MINIMUM()</t>
  </si>
  <si>
    <t>MINVAL()</t>
  </si>
  <si>
    <t>A função no Excel para encontrar o valor mínimo em um intervalo de células é a função MÍNIMO(). Ela retorna o menor valor dentro do intervalo especificado.</t>
  </si>
  <si>
    <t>Qual função você usaria para contar quantas vezes um valor específico aparece em um intervalo de células?</t>
  </si>
  <si>
    <t>SOMASE()</t>
  </si>
  <si>
    <t>CONT.SE()</t>
  </si>
  <si>
    <t>CONTAR()</t>
  </si>
  <si>
    <t>CONT.NUM()</t>
  </si>
  <si>
    <t>CONT.SE() conta o número de células que atendem a um critério especificado.</t>
  </si>
  <si>
    <t>Qual recurso é usado para organizar dados em ordem ascendente ou descendente?</t>
  </si>
  <si>
    <t>Classificar</t>
  </si>
  <si>
    <t>Filtrar</t>
  </si>
  <si>
    <t>Tabela</t>
  </si>
  <si>
    <t>Gráfico</t>
  </si>
  <si>
    <t>A opção Classificar organiza uma lista de dados em uma sequência alfabética ou numérica.</t>
  </si>
  <si>
    <t>Qual função permite testar uma condição e retornar um valor se essa condição for verdadeira e outro valor se for falsa?</t>
  </si>
  <si>
    <t>SE()</t>
  </si>
  <si>
    <t>E()</t>
  </si>
  <si>
    <t>OU()</t>
  </si>
  <si>
    <t>NÃO()</t>
  </si>
  <si>
    <t>A função SE() realiza um teste lógico e retorna um valor se o resultado for VERDADEIRO e outro se for FALSO.</t>
  </si>
  <si>
    <t>CPF</t>
  </si>
  <si>
    <t>Nome</t>
  </si>
  <si>
    <t>Senha</t>
  </si>
  <si>
    <t>Email</t>
  </si>
  <si>
    <t>701.780.360-48</t>
  </si>
  <si>
    <t>Ana Vitoria</t>
  </si>
  <si>
    <t>ana@gmail.com</t>
  </si>
  <si>
    <t>076.933.610-81</t>
  </si>
  <si>
    <t>Cesar Augusto</t>
  </si>
  <si>
    <t>cesar@email.com</t>
  </si>
  <si>
    <t>438.924.000-59</t>
  </si>
  <si>
    <t>Olivia Ferreira</t>
  </si>
  <si>
    <t>olivia@yahoo.com</t>
  </si>
  <si>
    <t>162.642.950-27</t>
  </si>
  <si>
    <t>Fernanda Pires</t>
  </si>
  <si>
    <t>fernanda@email.com</t>
  </si>
  <si>
    <t>Respostas 1</t>
  </si>
  <si>
    <t>Respostas 2</t>
  </si>
  <si>
    <t>Respostas 3</t>
  </si>
  <si>
    <t>Respostas 4</t>
  </si>
  <si>
    <t>Respostas 5</t>
  </si>
  <si>
    <t>Respostas 6</t>
  </si>
  <si>
    <t>Respostas 7</t>
  </si>
  <si>
    <t>Respostas 8</t>
  </si>
  <si>
    <t>Respostas 9</t>
  </si>
  <si>
    <t>Respostas 10</t>
  </si>
  <si>
    <t>Media</t>
  </si>
  <si>
    <t>Resultado</t>
  </si>
  <si>
    <t>d</t>
  </si>
  <si>
    <t>Aprovado(a)</t>
  </si>
  <si>
    <t>CPF:</t>
  </si>
  <si>
    <t>Nome:</t>
  </si>
  <si>
    <t>Acertos:</t>
  </si>
  <si>
    <t>Erros:</t>
  </si>
  <si>
    <t>Situação:</t>
  </si>
  <si>
    <t xml:space="preserve">Pergunta 1:   </t>
  </si>
  <si>
    <t>Sua Resposta:</t>
  </si>
  <si>
    <t>Resposta Certa:</t>
  </si>
  <si>
    <t>Resultado:</t>
  </si>
  <si>
    <t xml:space="preserve">Pergunta 2:   </t>
  </si>
  <si>
    <t xml:space="preserve">Pergunta 3:   </t>
  </si>
  <si>
    <t xml:space="preserve">Pergunta 4:   </t>
  </si>
  <si>
    <t xml:space="preserve">Pergunta 5:   </t>
  </si>
  <si>
    <t xml:space="preserve">Pergunta 6:   </t>
  </si>
  <si>
    <t xml:space="preserve">Pergunta 7:   </t>
  </si>
  <si>
    <t xml:space="preserve">Pergunta 8:   </t>
  </si>
  <si>
    <t xml:space="preserve">Pergunta 9:   </t>
  </si>
  <si>
    <t xml:space="preserve">Pergunta 10:   </t>
  </si>
  <si>
    <t>Confira seu Resultado</t>
  </si>
  <si>
    <t>30,00% (Reprovado)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</si>
</sst>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3" fillId="0" borderId="0" xfId="1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0" fontId="0" fillId="2" borderId="0" xfId="0" applyFill="1"/>
    <xf numFmtId="0" fontId="5" fillId="0" borderId="1" xfId="0" applyFont="1" applyBorder="1" applyAlignment="1">
      <alignment horizontal="left" vertical="top" wrapText="1" indent="3"/>
    </xf>
    <xf numFmtId="0" fontId="5" fillId="0" borderId="2" xfId="0" applyFont="1" applyBorder="1" applyAlignment="1">
      <alignment horizontal="left" vertical="top" wrapText="1" indent="3"/>
    </xf>
    <xf numFmtId="0" fontId="5" fillId="0" borderId="3" xfId="0" applyFont="1" applyBorder="1" applyAlignment="1">
      <alignment horizontal="left" vertical="top" wrapText="1" indent="3"/>
    </xf>
    <xf numFmtId="0" fontId="5" fillId="0" borderId="4" xfId="0" applyFont="1" applyBorder="1" applyAlignment="1">
      <alignment horizontal="left" vertical="top" wrapText="1" indent="3"/>
    </xf>
    <xf numFmtId="0" fontId="5" fillId="0" borderId="0" xfId="0" applyFont="1" applyAlignment="1">
      <alignment horizontal="left" vertical="top" wrapText="1" indent="3"/>
    </xf>
    <xf numFmtId="0" fontId="5" fillId="0" borderId="5" xfId="0" applyFont="1" applyBorder="1" applyAlignment="1">
      <alignment horizontal="left" vertical="top" wrapText="1" indent="3"/>
    </xf>
    <xf numFmtId="0" fontId="5" fillId="0" borderId="6" xfId="0" applyFont="1" applyBorder="1" applyAlignment="1">
      <alignment horizontal="left" vertical="top" wrapText="1" indent="3"/>
    </xf>
    <xf numFmtId="0" fontId="5" fillId="0" borderId="7" xfId="0" applyFont="1" applyBorder="1" applyAlignment="1">
      <alignment horizontal="left" vertical="top" wrapText="1" indent="3"/>
    </xf>
    <xf numFmtId="0" fontId="5" fillId="0" borderId="8" xfId="0" applyFont="1" applyBorder="1" applyAlignment="1">
      <alignment horizontal="left" vertical="top" wrapText="1" indent="3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left" vertical="top" wrapText="1" indent="3"/>
    </xf>
    <xf numFmtId="0" fontId="5" fillId="0" borderId="1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olivia@yahoo.com" TargetMode="External"/><Relationship Id="rId2" Type="http://schemas.openxmlformats.org/officeDocument/2006/relationships/hyperlink" Target="mailto:cesar@email.com" TargetMode="External"/><Relationship Id="rId1" Type="http://schemas.openxmlformats.org/officeDocument/2006/relationships/hyperlink" Target="mailto:ana@g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fernand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3DC8D-42F9-49AD-873A-5D8BF8EF0F75}">
  <sheetPr codeName="Planilha1"/>
  <dimension ref="A1:G11"/>
  <sheetViews>
    <sheetView workbookViewId="0">
      <selection activeCell="A27" sqref="A27"/>
    </sheetView>
  </sheetViews>
  <sheetFormatPr defaultRowHeight="14.6" x14ac:dyDescent="0.4"/>
  <cols>
    <col min="1" max="1" width="97" bestFit="1" customWidth="1"/>
    <col min="2" max="2" width="45.23046875" bestFit="1" customWidth="1"/>
    <col min="3" max="3" width="23.921875" bestFit="1" customWidth="1"/>
    <col min="4" max="4" width="36" bestFit="1" customWidth="1"/>
    <col min="5" max="5" width="20.23046875" bestFit="1" customWidth="1"/>
    <col min="6" max="6" width="8.3828125" bestFit="1" customWidth="1"/>
    <col min="7" max="7" width="185.61328125" bestFit="1" customWidth="1"/>
  </cols>
  <sheetData>
    <row r="1" spans="1: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7" x14ac:dyDescent="0.4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t="s">
        <v>20</v>
      </c>
    </row>
    <row r="4" spans="1:7" x14ac:dyDescent="0.4">
      <c r="A4" t="s">
        <v>21</v>
      </c>
      <c r="B4" t="s">
        <v>22</v>
      </c>
      <c r="C4" t="s">
        <v>23</v>
      </c>
      <c r="D4" t="s">
        <v>24</v>
      </c>
      <c r="E4" t="s">
        <v>25</v>
      </c>
      <c r="F4" t="s">
        <v>12</v>
      </c>
      <c r="G4" t="s">
        <v>26</v>
      </c>
    </row>
    <row r="5" spans="1:7" x14ac:dyDescent="0.4">
      <c r="A5" t="s">
        <v>27</v>
      </c>
      <c r="B5" t="s">
        <v>28</v>
      </c>
      <c r="C5" t="s">
        <v>29</v>
      </c>
      <c r="D5" t="s">
        <v>30</v>
      </c>
      <c r="E5" t="s">
        <v>31</v>
      </c>
      <c r="F5" t="s">
        <v>32</v>
      </c>
      <c r="G5" t="s">
        <v>33</v>
      </c>
    </row>
    <row r="6" spans="1:7" x14ac:dyDescent="0.4">
      <c r="A6" t="s">
        <v>34</v>
      </c>
      <c r="B6" t="s">
        <v>35</v>
      </c>
      <c r="C6" t="s">
        <v>36</v>
      </c>
      <c r="D6" t="s">
        <v>37</v>
      </c>
      <c r="E6" t="s">
        <v>38</v>
      </c>
      <c r="F6" t="s">
        <v>19</v>
      </c>
      <c r="G6" t="s">
        <v>39</v>
      </c>
    </row>
    <row r="7" spans="1:7" x14ac:dyDescent="0.4">
      <c r="A7" t="s">
        <v>40</v>
      </c>
      <c r="B7" t="s">
        <v>41</v>
      </c>
      <c r="C7" t="s">
        <v>42</v>
      </c>
      <c r="D7" t="s">
        <v>43</v>
      </c>
      <c r="E7" t="s">
        <v>31</v>
      </c>
      <c r="F7" t="s">
        <v>19</v>
      </c>
      <c r="G7" t="s">
        <v>44</v>
      </c>
    </row>
    <row r="8" spans="1:7" x14ac:dyDescent="0.4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12</v>
      </c>
      <c r="G8" t="s">
        <v>50</v>
      </c>
    </row>
    <row r="9" spans="1:7" x14ac:dyDescent="0.4">
      <c r="A9" t="s">
        <v>51</v>
      </c>
      <c r="B9" t="s">
        <v>52</v>
      </c>
      <c r="C9" t="s">
        <v>53</v>
      </c>
      <c r="D9" t="s">
        <v>54</v>
      </c>
      <c r="E9" t="s">
        <v>55</v>
      </c>
      <c r="F9" t="s">
        <v>19</v>
      </c>
      <c r="G9" t="s">
        <v>56</v>
      </c>
    </row>
    <row r="10" spans="1:7" x14ac:dyDescent="0.4">
      <c r="A10" t="s">
        <v>57</v>
      </c>
      <c r="B10" t="s">
        <v>58</v>
      </c>
      <c r="C10" t="s">
        <v>59</v>
      </c>
      <c r="D10" t="s">
        <v>60</v>
      </c>
      <c r="E10" t="s">
        <v>61</v>
      </c>
      <c r="F10" t="s">
        <v>12</v>
      </c>
      <c r="G10" t="s">
        <v>62</v>
      </c>
    </row>
    <row r="11" spans="1:7" x14ac:dyDescent="0.4">
      <c r="A11" t="s">
        <v>63</v>
      </c>
      <c r="B11" t="s">
        <v>64</v>
      </c>
      <c r="C11" t="s">
        <v>65</v>
      </c>
      <c r="D11" t="s">
        <v>66</v>
      </c>
      <c r="E11" t="s">
        <v>67</v>
      </c>
      <c r="F11" t="s">
        <v>12</v>
      </c>
      <c r="G11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A53-FCEE-41F3-97E6-D79BBE07690F}">
  <sheetPr codeName="Planilha2"/>
  <dimension ref="A1:D5"/>
  <sheetViews>
    <sheetView workbookViewId="0">
      <selection activeCell="A2" sqref="A2"/>
    </sheetView>
  </sheetViews>
  <sheetFormatPr defaultRowHeight="14.6" x14ac:dyDescent="0.4"/>
  <cols>
    <col min="1" max="1" width="14.53515625" bestFit="1" customWidth="1"/>
    <col min="2" max="2" width="13.765625" bestFit="1" customWidth="1"/>
    <col min="3" max="3" width="5.921875" bestFit="1" customWidth="1"/>
  </cols>
  <sheetData>
    <row r="1" spans="1:4" x14ac:dyDescent="0.4">
      <c r="A1" t="s">
        <v>69</v>
      </c>
      <c r="B1" t="s">
        <v>70</v>
      </c>
      <c r="C1" t="s">
        <v>71</v>
      </c>
      <c r="D1" t="s">
        <v>72</v>
      </c>
    </row>
    <row r="2" spans="1:4" ht="15.9" x14ac:dyDescent="0.45">
      <c r="A2" s="1" t="s">
        <v>73</v>
      </c>
      <c r="B2" s="1" t="s">
        <v>74</v>
      </c>
      <c r="C2" s="1">
        <v>555</v>
      </c>
      <c r="D2" s="2" t="s">
        <v>75</v>
      </c>
    </row>
    <row r="3" spans="1:4" ht="15.9" x14ac:dyDescent="0.45">
      <c r="A3" s="1" t="s">
        <v>76</v>
      </c>
      <c r="B3" s="1" t="s">
        <v>77</v>
      </c>
      <c r="C3" s="1">
        <v>556</v>
      </c>
      <c r="D3" s="2" t="s">
        <v>78</v>
      </c>
    </row>
    <row r="4" spans="1:4" ht="15.9" x14ac:dyDescent="0.45">
      <c r="A4" s="1" t="s">
        <v>79</v>
      </c>
      <c r="B4" s="1" t="s">
        <v>80</v>
      </c>
      <c r="C4" s="1">
        <v>557</v>
      </c>
      <c r="D4" s="2" t="s">
        <v>81</v>
      </c>
    </row>
    <row r="5" spans="1:4" ht="15.9" x14ac:dyDescent="0.45">
      <c r="A5" s="1" t="s">
        <v>82</v>
      </c>
      <c r="B5" s="1" t="s">
        <v>83</v>
      </c>
      <c r="C5" s="1">
        <v>558</v>
      </c>
      <c r="D5" s="2" t="s">
        <v>84</v>
      </c>
    </row>
  </sheetData>
  <hyperlinks>
    <hyperlink ref="D2" r:id="rId1" xr:uid="{E743F59D-DDB4-4B43-856D-FB546CE08156}"/>
    <hyperlink ref="D3" r:id="rId2" xr:uid="{B13655AF-0381-437D-A8D2-79083F4CBA2A}"/>
    <hyperlink ref="D4" r:id="rId3" xr:uid="{393318DD-8675-4457-9D02-EDDCE68EAF97}"/>
    <hyperlink ref="D5" r:id="rId4" xr:uid="{7AA64DE2-FE0D-4ADC-AA13-3A8EB5BF9E3F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0554B-C0EA-43D8-BF2A-4914E52B1100}">
  <sheetPr codeName="Planilha3"/>
  <dimension ref="A1:O4"/>
  <sheetViews>
    <sheetView topLeftCell="C1" workbookViewId="0">
      <selection activeCell="D7" sqref="D7"/>
    </sheetView>
  </sheetViews>
  <sheetFormatPr defaultRowHeight="14.6" x14ac:dyDescent="0.4"/>
  <cols>
    <col min="1" max="1" width="13.61328125" bestFit="1" customWidth="1"/>
    <col min="2" max="2" width="12.921875" bestFit="1" customWidth="1"/>
    <col min="3" max="11" width="10.69140625" bestFit="1" customWidth="1"/>
    <col min="12" max="12" width="11.69140625" bestFit="1" customWidth="1"/>
    <col min="13" max="13" width="5.765625" bestFit="1" customWidth="1"/>
    <col min="14" max="14" width="10.61328125" bestFit="1" customWidth="1"/>
    <col min="15" max="15" width="18.23046875" bestFit="1" customWidth="1"/>
  </cols>
  <sheetData>
    <row r="1" spans="1:15" x14ac:dyDescent="0.4">
      <c r="A1" t="s">
        <v>69</v>
      </c>
      <c r="B1" t="s">
        <v>70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72</v>
      </c>
    </row>
    <row r="2" spans="1:15" x14ac:dyDescent="0.4">
      <c r="A2" t="s">
        <v>82</v>
      </c>
      <c r="B2" t="s">
        <v>83</v>
      </c>
      <c r="C2" t="s">
        <v>12</v>
      </c>
      <c r="D2" t="s">
        <v>19</v>
      </c>
      <c r="E2" t="s">
        <v>12</v>
      </c>
      <c r="F2" t="s">
        <v>19</v>
      </c>
      <c r="G2" t="s">
        <v>12</v>
      </c>
      <c r="H2" t="s">
        <v>12</v>
      </c>
      <c r="I2" t="s">
        <v>12</v>
      </c>
      <c r="J2" t="s">
        <v>19</v>
      </c>
      <c r="K2" t="s">
        <v>12</v>
      </c>
      <c r="L2" t="s">
        <v>97</v>
      </c>
      <c r="M2">
        <v>60</v>
      </c>
      <c r="N2" t="s">
        <v>98</v>
      </c>
      <c r="O2" t="s">
        <v>84</v>
      </c>
    </row>
    <row r="3" spans="1:15" x14ac:dyDescent="0.4">
      <c r="A3" t="s">
        <v>76</v>
      </c>
      <c r="B3" t="s">
        <v>77</v>
      </c>
      <c r="C3" t="s">
        <v>12</v>
      </c>
      <c r="D3" t="s">
        <v>19</v>
      </c>
      <c r="E3" t="s">
        <v>12</v>
      </c>
      <c r="F3" t="s">
        <v>32</v>
      </c>
      <c r="G3" t="s">
        <v>19</v>
      </c>
      <c r="H3" t="s">
        <v>12</v>
      </c>
      <c r="I3" t="s">
        <v>19</v>
      </c>
      <c r="J3" t="s">
        <v>19</v>
      </c>
      <c r="K3" t="s">
        <v>97</v>
      </c>
      <c r="L3" t="s">
        <v>97</v>
      </c>
      <c r="M3">
        <v>60</v>
      </c>
      <c r="N3" t="s">
        <v>98</v>
      </c>
      <c r="O3" t="s">
        <v>78</v>
      </c>
    </row>
    <row r="4" spans="1:15" x14ac:dyDescent="0.4">
      <c r="A4" t="s">
        <v>73</v>
      </c>
      <c r="B4" t="s">
        <v>74</v>
      </c>
      <c r="C4" t="s">
        <v>12</v>
      </c>
      <c r="D4" t="s">
        <v>19</v>
      </c>
      <c r="E4" t="s">
        <v>12</v>
      </c>
      <c r="F4" t="s">
        <v>97</v>
      </c>
      <c r="G4" t="s">
        <v>97</v>
      </c>
      <c r="H4" t="s">
        <v>97</v>
      </c>
      <c r="I4" t="s">
        <v>97</v>
      </c>
      <c r="J4" t="s">
        <v>97</v>
      </c>
      <c r="K4" t="s">
        <v>97</v>
      </c>
      <c r="L4" t="s">
        <v>97</v>
      </c>
      <c r="M4">
        <v>30</v>
      </c>
      <c r="N4" t="s">
        <v>98</v>
      </c>
      <c r="O4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92EE3-3B71-406D-B55B-C87210D13ED1}">
  <sheetPr codeName="Planilha4"/>
  <dimension ref="B3:M216"/>
  <sheetViews>
    <sheetView showGridLines="0" tabSelected="1" topLeftCell="B130" workbookViewId="0">
      <selection activeCell="C6" sqref="C6"/>
    </sheetView>
  </sheetViews>
  <sheetFormatPr defaultRowHeight="14.6" x14ac:dyDescent="0.4"/>
  <cols>
    <col min="2" max="2" width="16.84375" customWidth="1"/>
    <col min="3" max="3" width="25.4609375" customWidth="1"/>
    <col min="7" max="7" width="18.07421875" customWidth="1"/>
  </cols>
  <sheetData>
    <row r="3" spans="2:12" ht="36.9" x14ac:dyDescent="1">
      <c r="C3" s="28" t="s">
        <v>117</v>
      </c>
      <c r="D3" s="28"/>
      <c r="E3" s="28"/>
      <c r="F3" s="28"/>
      <c r="G3" s="28"/>
      <c r="H3" s="28"/>
      <c r="I3" s="28"/>
      <c r="J3" s="28"/>
      <c r="K3" s="28"/>
    </row>
    <row r="6" spans="2:12" ht="20.6" x14ac:dyDescent="0.55000000000000004">
      <c r="B6" s="3" t="s">
        <v>99</v>
      </c>
      <c r="C6" s="29" t="s">
        <v>73</v>
      </c>
    </row>
    <row r="7" spans="2:12" x14ac:dyDescent="0.4">
      <c r="C7" s="5"/>
    </row>
    <row r="8" spans="2:12" ht="20.6" x14ac:dyDescent="0.55000000000000004">
      <c r="B8" s="3" t="s">
        <v>100</v>
      </c>
      <c r="C8" s="30" t="s">
        <v>74</v>
      </c>
    </row>
    <row r="9" spans="2:12" ht="20.6" x14ac:dyDescent="0.55000000000000004">
      <c r="B9" s="3" t="s">
        <v>101</v>
      </c>
      <c r="C9" s="30">
        <v>3</v>
      </c>
    </row>
    <row r="10" spans="2:12" ht="20.6" x14ac:dyDescent="0.55000000000000004">
      <c r="B10" s="3" t="s">
        <v>102</v>
      </c>
      <c r="C10" s="30">
        <v>7</v>
      </c>
    </row>
    <row r="11" spans="2:12" ht="20.6" x14ac:dyDescent="0.55000000000000004">
      <c r="B11" s="3" t="s">
        <v>103</v>
      </c>
      <c r="C11" s="30" t="s">
        <v>118</v>
      </c>
    </row>
    <row r="14" spans="2:12" ht="15" thickBot="1" x14ac:dyDescent="0.45"/>
    <row r="15" spans="2:12" ht="20.6" x14ac:dyDescent="0.55000000000000004">
      <c r="B15" s="3" t="s">
        <v>104</v>
      </c>
      <c r="C15" s="8" t="str">
        <f>Perguntas!A2</f>
        <v>Qual é a função no Excel para somar um intervalo de células?</v>
      </c>
      <c r="D15" s="9"/>
      <c r="E15" s="9"/>
      <c r="F15" s="9"/>
      <c r="G15" s="9"/>
      <c r="H15" s="9"/>
      <c r="I15" s="9"/>
      <c r="J15" s="9"/>
      <c r="K15" s="9"/>
      <c r="L15" s="10"/>
    </row>
    <row r="16" spans="2:12" x14ac:dyDescent="0.4">
      <c r="C16" s="11"/>
      <c r="D16" s="12"/>
      <c r="E16" s="12"/>
      <c r="F16" s="12"/>
      <c r="G16" s="12"/>
      <c r="H16" s="12"/>
      <c r="I16" s="12"/>
      <c r="J16" s="12"/>
      <c r="K16" s="12"/>
      <c r="L16" s="13"/>
    </row>
    <row r="17" spans="2:13" x14ac:dyDescent="0.4">
      <c r="C17" s="11"/>
      <c r="D17" s="12"/>
      <c r="E17" s="12"/>
      <c r="F17" s="12"/>
      <c r="G17" s="12"/>
      <c r="H17" s="12"/>
      <c r="I17" s="12"/>
      <c r="J17" s="12"/>
      <c r="K17" s="12"/>
      <c r="L17" s="13"/>
    </row>
    <row r="18" spans="2:13" ht="15" thickBot="1" x14ac:dyDescent="0.45">
      <c r="C18" s="14"/>
      <c r="D18" s="15"/>
      <c r="E18" s="15"/>
      <c r="F18" s="15"/>
      <c r="G18" s="15"/>
      <c r="H18" s="15"/>
      <c r="I18" s="15"/>
      <c r="J18" s="15"/>
      <c r="K18" s="15"/>
      <c r="L18" s="16"/>
    </row>
    <row r="20" spans="2:13" ht="20.6" x14ac:dyDescent="0.55000000000000004">
      <c r="C20" s="3" t="s">
        <v>105</v>
      </c>
      <c r="E20" s="17" t="str">
        <f>VLOOKUP($C$6,Resultados!A:O,3,0)</f>
        <v>a</v>
      </c>
      <c r="F20" s="17"/>
      <c r="G20" s="3" t="str">
        <f>IF(E20="a",VLOOKUP(C15,Perguntas!A:F,2,0),
IF(E20="b",VLOOKUP(C15,Perguntas!A:F,3,0),
IF(E20="c",VLOOKUP(C15,Perguntas!A:F,4,0),
IF(E20="d",VLOOKUP(C15,Perguntas!A:F,5,0),"Resposta não encontrada"))))</f>
        <v>SOMA()</v>
      </c>
    </row>
    <row r="22" spans="2:13" ht="20.6" x14ac:dyDescent="0.55000000000000004">
      <c r="C22" s="3" t="s">
        <v>106</v>
      </c>
      <c r="E22" s="17" t="str">
        <f>VLOOKUP(C15,Perguntas!A:F,6,0)</f>
        <v>a</v>
      </c>
      <c r="F22" s="17"/>
      <c r="G22" s="3" t="str">
        <f>IF(E22="a",VLOOKUP(C15,Perguntas!A:F,2,0),
IF(E22="b",VLOOKUP(C15,Perguntas!A:F,3,0),
IF(E22="c",VLOOKUP(C15,Perguntas!A:F,4,0),
IF(E22="d",VLOOKUP(C15,Perguntas!A:F,5,0),"Resposta não encontrada"))))</f>
        <v>SOMA()</v>
      </c>
    </row>
    <row r="24" spans="2:13" ht="20.6" x14ac:dyDescent="0.55000000000000004">
      <c r="C24" s="3" t="s">
        <v>107</v>
      </c>
      <c r="E24" s="17" t="str">
        <f>IF(E20=E22,"Certo","Errado")</f>
        <v>Certo</v>
      </c>
      <c r="F24" s="17"/>
      <c r="G24" s="3"/>
    </row>
    <row r="26" spans="2:13" ht="3.9" customHeight="1" x14ac:dyDescent="0.4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8" spans="2:13" ht="15" thickBot="1" x14ac:dyDescent="0.45"/>
    <row r="29" spans="2:13" ht="20.6" x14ac:dyDescent="0.55000000000000004">
      <c r="B29" s="3" t="s">
        <v>108</v>
      </c>
      <c r="C29" s="8" t="str">
        <f>Perguntas!A3</f>
        <v>Qual é a função no Excel para calcular a média de um intervalo de valores?</v>
      </c>
      <c r="D29" s="9"/>
      <c r="E29" s="9"/>
      <c r="F29" s="9"/>
      <c r="G29" s="9"/>
      <c r="H29" s="9"/>
      <c r="I29" s="9"/>
      <c r="J29" s="9"/>
      <c r="K29" s="9"/>
      <c r="L29" s="10"/>
    </row>
    <row r="30" spans="2:13" x14ac:dyDescent="0.4">
      <c r="C30" s="11"/>
      <c r="D30" s="12"/>
      <c r="E30" s="12"/>
      <c r="F30" s="12"/>
      <c r="G30" s="12"/>
      <c r="H30" s="12"/>
      <c r="I30" s="12"/>
      <c r="J30" s="12"/>
      <c r="K30" s="12"/>
      <c r="L30" s="13"/>
    </row>
    <row r="31" spans="2:13" x14ac:dyDescent="0.4">
      <c r="C31" s="11"/>
      <c r="D31" s="12"/>
      <c r="E31" s="12"/>
      <c r="F31" s="12"/>
      <c r="G31" s="12"/>
      <c r="H31" s="12"/>
      <c r="I31" s="12"/>
      <c r="J31" s="12"/>
      <c r="K31" s="12"/>
      <c r="L31" s="13"/>
    </row>
    <row r="32" spans="2:13" ht="15" thickBot="1" x14ac:dyDescent="0.45">
      <c r="C32" s="14"/>
      <c r="D32" s="15"/>
      <c r="E32" s="15"/>
      <c r="F32" s="15"/>
      <c r="G32" s="15"/>
      <c r="H32" s="15"/>
      <c r="I32" s="15"/>
      <c r="J32" s="15"/>
      <c r="K32" s="15"/>
      <c r="L32" s="16"/>
    </row>
    <row r="33" spans="2:13" ht="20.6" x14ac:dyDescent="0.55000000000000004">
      <c r="B33" s="3"/>
      <c r="C33" s="4"/>
    </row>
    <row r="34" spans="2:13" ht="20.6" x14ac:dyDescent="0.55000000000000004">
      <c r="C34" s="3" t="s">
        <v>105</v>
      </c>
      <c r="E34" s="17" t="str">
        <f>VLOOKUP($C$6,Resultados!A:O,4,0)</f>
        <v>b</v>
      </c>
      <c r="F34" s="17"/>
      <c r="G34" s="3" t="str">
        <f>IF(E34="a",VLOOKUP(C29,Perguntas!A:F,2,0),
IF(E34="b",VLOOKUP(C29,Perguntas!A:F,3,0),
IF(E34="c",VLOOKUP(C29,Perguntas!A:F,4,0),
IF(E34="d",VLOOKUP(C29,Perguntas!A:F,5,0),"Resposta não encontrada"))))</f>
        <v>MÉDIA()</v>
      </c>
    </row>
    <row r="36" spans="2:13" ht="20.6" x14ac:dyDescent="0.55000000000000004">
      <c r="C36" s="3" t="s">
        <v>106</v>
      </c>
      <c r="E36" s="17" t="str">
        <f>VLOOKUP(C29,Perguntas!A:F,6,0)</f>
        <v>b</v>
      </c>
      <c r="F36" s="17"/>
      <c r="G36" s="3" t="str">
        <f>IF(E36="a",VLOOKUP(C29,Perguntas!A:F,2,0),
IF(E36="b",VLOOKUP(C29,Perguntas!A:F,3,0),
IF(E36="c",VLOOKUP(C29,Perguntas!A:F,4,0),
IF(E36="d",VLOOKUP(C29,Perguntas!A:F,5,0),"Resposta não encontrada"))))</f>
        <v>MÉDIA()</v>
      </c>
    </row>
    <row r="38" spans="2:13" ht="20.6" x14ac:dyDescent="0.55000000000000004">
      <c r="C38" s="3" t="s">
        <v>107</v>
      </c>
      <c r="E38" s="17" t="str">
        <f>IF(E34=E36,"Certo","Errado")</f>
        <v>Certo</v>
      </c>
      <c r="F38" s="17"/>
      <c r="G38" s="3"/>
    </row>
    <row r="40" spans="2:13" ht="3.9" customHeight="1" x14ac:dyDescent="0.4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2" spans="2:13" ht="15" thickBot="1" x14ac:dyDescent="0.45"/>
    <row r="43" spans="2:13" ht="20.6" x14ac:dyDescent="0.55000000000000004">
      <c r="B43" s="3" t="s">
        <v>109</v>
      </c>
      <c r="C43" s="8" t="str">
        <f>Perguntas!A4</f>
        <v>Qual é a função no Excel para encontrar o valor máximo em um intervalo de células?</v>
      </c>
      <c r="D43" s="9"/>
      <c r="E43" s="9"/>
      <c r="F43" s="9"/>
      <c r="G43" s="9"/>
      <c r="H43" s="9"/>
      <c r="I43" s="9"/>
      <c r="J43" s="9"/>
      <c r="K43" s="9"/>
      <c r="L43" s="10"/>
    </row>
    <row r="44" spans="2:13" x14ac:dyDescent="0.4">
      <c r="C44" s="11"/>
      <c r="D44" s="12"/>
      <c r="E44" s="12"/>
      <c r="F44" s="12"/>
      <c r="G44" s="12"/>
      <c r="H44" s="12"/>
      <c r="I44" s="12"/>
      <c r="J44" s="12"/>
      <c r="K44" s="12"/>
      <c r="L44" s="13"/>
    </row>
    <row r="45" spans="2:13" x14ac:dyDescent="0.4">
      <c r="C45" s="11"/>
      <c r="D45" s="12"/>
      <c r="E45" s="12"/>
      <c r="F45" s="12"/>
      <c r="G45" s="12"/>
      <c r="H45" s="12"/>
      <c r="I45" s="12"/>
      <c r="J45" s="12"/>
      <c r="K45" s="12"/>
      <c r="L45" s="13"/>
    </row>
    <row r="46" spans="2:13" ht="15" thickBot="1" x14ac:dyDescent="0.45">
      <c r="C46" s="14"/>
      <c r="D46" s="15"/>
      <c r="E46" s="15"/>
      <c r="F46" s="15"/>
      <c r="G46" s="15"/>
      <c r="H46" s="15"/>
      <c r="I46" s="15"/>
      <c r="J46" s="15"/>
      <c r="K46" s="15"/>
      <c r="L46" s="16"/>
    </row>
    <row r="48" spans="2:13" ht="20.6" x14ac:dyDescent="0.55000000000000004">
      <c r="C48" s="3" t="s">
        <v>105</v>
      </c>
      <c r="E48" s="17" t="str">
        <f>VLOOKUP($C$6,Resultados!A:O,5,0)</f>
        <v>a</v>
      </c>
      <c r="F48" s="17"/>
      <c r="G48" s="3" t="str">
        <f>IF(E48="a",VLOOKUP(C43,Perguntas!A:F,2,0),
IF(E48="b",VLOOKUP(C43,Perguntas!A:F,3,0),
IF(E48="c",VLOOKUP(C43,Perguntas!A:F,4,0),
IF(E48="d",VLOOKUP(C43,Perguntas!A:F,5,0),"Resposta não encontrada"))))</f>
        <v>MÁXIMO()</v>
      </c>
    </row>
    <row r="50" spans="2:13" ht="20.6" x14ac:dyDescent="0.55000000000000004">
      <c r="C50" s="3" t="s">
        <v>106</v>
      </c>
      <c r="E50" s="17" t="str">
        <f>VLOOKUP(C43,Perguntas!A:F,6,0)</f>
        <v>a</v>
      </c>
      <c r="F50" s="17"/>
      <c r="G50" s="3" t="str">
        <f>IF(E50="a",VLOOKUP(C43,Perguntas!A:F,2,0),
IF(E50="b",VLOOKUP(C43,Perguntas!A:F,3,0),
IF(E50="c",VLOOKUP(C43,Perguntas!A:F,4,0),
IF(E50="d",VLOOKUP(C43,Perguntas!A:F,5,0),"Resposta não encontrada"))))</f>
        <v>MÁXIMO()</v>
      </c>
    </row>
    <row r="52" spans="2:13" ht="20.6" x14ac:dyDescent="0.55000000000000004">
      <c r="C52" s="3" t="s">
        <v>107</v>
      </c>
      <c r="E52" s="17" t="str">
        <f>IF(E48=E50,"Certo","Errado")</f>
        <v>Certo</v>
      </c>
      <c r="F52" s="17"/>
      <c r="G52" s="3"/>
    </row>
    <row r="54" spans="2:13" ht="3.9" customHeight="1" x14ac:dyDescent="0.4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</row>
    <row r="55" spans="2:13" ht="20.6" x14ac:dyDescent="0.55000000000000004">
      <c r="B55" s="3"/>
      <c r="C55" s="4"/>
    </row>
    <row r="56" spans="2:13" ht="21" thickBot="1" x14ac:dyDescent="0.6">
      <c r="B56" s="3"/>
      <c r="C56" s="4"/>
    </row>
    <row r="57" spans="2:13" ht="20.6" x14ac:dyDescent="0.55000000000000004">
      <c r="B57" s="3" t="s">
        <v>110</v>
      </c>
      <c r="C57" s="8" t="str">
        <f>Perguntas!A5</f>
        <v>Como você pode aplicar uma formatação condicional no Excel?</v>
      </c>
      <c r="D57" s="9"/>
      <c r="E57" s="9"/>
      <c r="F57" s="9"/>
      <c r="G57" s="9"/>
      <c r="H57" s="9"/>
      <c r="I57" s="9"/>
      <c r="J57" s="9"/>
      <c r="K57" s="9"/>
      <c r="L57" s="10"/>
    </row>
    <row r="58" spans="2:13" x14ac:dyDescent="0.4">
      <c r="C58" s="11"/>
      <c r="D58" s="12"/>
      <c r="E58" s="12"/>
      <c r="F58" s="12"/>
      <c r="G58" s="12"/>
      <c r="H58" s="12"/>
      <c r="I58" s="12"/>
      <c r="J58" s="12"/>
      <c r="K58" s="12"/>
      <c r="L58" s="13"/>
    </row>
    <row r="59" spans="2:13" x14ac:dyDescent="0.4">
      <c r="C59" s="11"/>
      <c r="D59" s="12"/>
      <c r="E59" s="12"/>
      <c r="F59" s="12"/>
      <c r="G59" s="12"/>
      <c r="H59" s="12"/>
      <c r="I59" s="12"/>
      <c r="J59" s="12"/>
      <c r="K59" s="12"/>
      <c r="L59" s="13"/>
    </row>
    <row r="60" spans="2:13" ht="15" thickBot="1" x14ac:dyDescent="0.45">
      <c r="C60" s="14"/>
      <c r="D60" s="15"/>
      <c r="E60" s="15"/>
      <c r="F60" s="15"/>
      <c r="G60" s="15"/>
      <c r="H60" s="15"/>
      <c r="I60" s="15"/>
      <c r="J60" s="15"/>
      <c r="K60" s="15"/>
      <c r="L60" s="16"/>
    </row>
    <row r="62" spans="2:13" ht="20.6" x14ac:dyDescent="0.55000000000000004">
      <c r="C62" s="3" t="s">
        <v>105</v>
      </c>
      <c r="E62" s="17" t="str">
        <f>VLOOKUP($C$6,Resultados!A:O,6,0)</f>
        <v>d</v>
      </c>
      <c r="F62" s="17"/>
      <c r="G62" s="3" t="str">
        <f>IF(E62="a",VLOOKUP(C57,Perguntas!A:F,2,0),
IF(E62="b",VLOOKUP(C57,Perguntas!A:F,3,0),
IF(E62="c",VLOOKUP(C57,Perguntas!A:F,4,0),
IF(E62="d",VLOOKUP(C57,Perguntas!A:F,5,0),"Resposta não encontrada"))))</f>
        <v>Digitando manualmente</v>
      </c>
    </row>
    <row r="64" spans="2:13" ht="20.6" x14ac:dyDescent="0.55000000000000004">
      <c r="C64" s="3" t="s">
        <v>106</v>
      </c>
      <c r="E64" s="17" t="str">
        <f>VLOOKUP(C57,Perguntas!A:F,6,0)</f>
        <v>c</v>
      </c>
      <c r="F64" s="17"/>
      <c r="G64" s="3" t="str">
        <f>IF(E64="a",VLOOKUP(C57,Perguntas!A:F,2,0),
IF(E64="b",VLOOKUP(C57,Perguntas!A:F,3,0),
IF(E64="c",VLOOKUP(C57,Perguntas!A:F,4,0),
IF(E64="d",VLOOKUP(C57,Perguntas!A:F,5,0),"Resposta não encontrada"))))</f>
        <v>Usando a função "Formatação Condicional"</v>
      </c>
    </row>
    <row r="66" spans="2:13" ht="20.6" x14ac:dyDescent="0.55000000000000004">
      <c r="C66" s="3" t="s">
        <v>107</v>
      </c>
      <c r="E66" s="17" t="str">
        <f>IF(E62=E64,"Certo","Errado")</f>
        <v>Errado</v>
      </c>
      <c r="F66" s="17"/>
      <c r="G66" s="3"/>
    </row>
    <row r="68" spans="2:13" ht="3.9" customHeight="1" x14ac:dyDescent="0.4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</row>
    <row r="70" spans="2:13" ht="15" thickBot="1" x14ac:dyDescent="0.45"/>
    <row r="71" spans="2:13" ht="20.6" x14ac:dyDescent="0.55000000000000004">
      <c r="B71" s="3" t="s">
        <v>111</v>
      </c>
      <c r="C71" s="8" t="str">
        <f>Perguntas!A6</f>
        <v>Qual é a função no Excel para contar o número de células preenchidas em um intervalo?</v>
      </c>
      <c r="D71" s="9"/>
      <c r="E71" s="9"/>
      <c r="F71" s="9"/>
      <c r="G71" s="9"/>
      <c r="H71" s="9"/>
      <c r="I71" s="9"/>
      <c r="J71" s="9"/>
      <c r="K71" s="9"/>
      <c r="L71" s="10"/>
    </row>
    <row r="72" spans="2:13" x14ac:dyDescent="0.4">
      <c r="C72" s="11"/>
      <c r="D72" s="12"/>
      <c r="E72" s="12"/>
      <c r="F72" s="12"/>
      <c r="G72" s="12"/>
      <c r="H72" s="12"/>
      <c r="I72" s="12"/>
      <c r="J72" s="12"/>
      <c r="K72" s="12"/>
      <c r="L72" s="13"/>
    </row>
    <row r="73" spans="2:13" x14ac:dyDescent="0.4">
      <c r="C73" s="11"/>
      <c r="D73" s="12"/>
      <c r="E73" s="12"/>
      <c r="F73" s="12"/>
      <c r="G73" s="12"/>
      <c r="H73" s="12"/>
      <c r="I73" s="12"/>
      <c r="J73" s="12"/>
      <c r="K73" s="12"/>
      <c r="L73" s="13"/>
    </row>
    <row r="74" spans="2:13" ht="15" thickBot="1" x14ac:dyDescent="0.45">
      <c r="C74" s="14"/>
      <c r="D74" s="15"/>
      <c r="E74" s="15"/>
      <c r="F74" s="15"/>
      <c r="G74" s="15"/>
      <c r="H74" s="15"/>
      <c r="I74" s="15"/>
      <c r="J74" s="15"/>
      <c r="K74" s="15"/>
      <c r="L74" s="16"/>
    </row>
    <row r="75" spans="2:13" ht="20.6" x14ac:dyDescent="0.55000000000000004">
      <c r="B75" s="3"/>
      <c r="C75" s="4"/>
    </row>
    <row r="76" spans="2:13" ht="20.6" x14ac:dyDescent="0.55000000000000004">
      <c r="C76" s="3" t="s">
        <v>105</v>
      </c>
      <c r="E76" s="17" t="str">
        <f>VLOOKUP($C$6,Resultados!A:O,7,0)</f>
        <v>d</v>
      </c>
      <c r="F76" s="17"/>
      <c r="G76" s="3" t="str">
        <f>IF(E76="a",VLOOKUP(C71,Perguntas!A:F,2,0),
IF(E76="b",VLOOKUP(C71,Perguntas!A:F,3,0),
IF(E76="c",VLOOKUP(C71,Perguntas!A:F,4,0),
IF(E76="d",VLOOKUP(C71,Perguntas!A:F,5,0),"Resposta não encontrada"))))</f>
        <v>TOTALCOUNT()</v>
      </c>
    </row>
    <row r="78" spans="2:13" ht="20.6" x14ac:dyDescent="0.55000000000000004">
      <c r="C78" s="3" t="s">
        <v>106</v>
      </c>
      <c r="E78" s="17" t="str">
        <f>VLOOKUP(C71,Perguntas!A:F,6,0)</f>
        <v>b</v>
      </c>
      <c r="F78" s="17"/>
      <c r="G78" s="3" t="str">
        <f>IF(E78="a",VLOOKUP(C71,Perguntas!A:F,2,0),
IF(E78="b",VLOOKUP(C71,Perguntas!A:F,3,0),
IF(E78="c",VLOOKUP(C71,Perguntas!A:F,4,0),
IF(E78="d",VLOOKUP(C71,Perguntas!A:F,5,0),"Resposta não encontrada"))))</f>
        <v>CONT.VALORES()</v>
      </c>
    </row>
    <row r="80" spans="2:13" ht="20.6" x14ac:dyDescent="0.55000000000000004">
      <c r="C80" s="3" t="s">
        <v>107</v>
      </c>
      <c r="E80" s="17" t="str">
        <f>IF(E76=E78,"Certo","Errado")</f>
        <v>Errado</v>
      </c>
      <c r="F80" s="17"/>
      <c r="G80" s="3"/>
    </row>
    <row r="82" spans="2:13" ht="3.9" customHeight="1" x14ac:dyDescent="0.4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</row>
    <row r="84" spans="2:13" ht="15" thickBot="1" x14ac:dyDescent="0.45"/>
    <row r="85" spans="2:13" ht="20.6" x14ac:dyDescent="0.55000000000000004">
      <c r="B85" s="3" t="s">
        <v>112</v>
      </c>
      <c r="C85" s="8" t="str">
        <f>Perguntas!A7</f>
        <v>Como você pode congelar as primeiras linhas e colunas em uma planilha do Excel?</v>
      </c>
      <c r="D85" s="9"/>
      <c r="E85" s="9"/>
      <c r="F85" s="9"/>
      <c r="G85" s="9"/>
      <c r="H85" s="9"/>
      <c r="I85" s="9"/>
      <c r="J85" s="9"/>
      <c r="K85" s="9"/>
      <c r="L85" s="10"/>
    </row>
    <row r="86" spans="2:13" x14ac:dyDescent="0.4">
      <c r="C86" s="11"/>
      <c r="D86" s="12"/>
      <c r="E86" s="12"/>
      <c r="F86" s="12"/>
      <c r="G86" s="12"/>
      <c r="H86" s="12"/>
      <c r="I86" s="12"/>
      <c r="J86" s="12"/>
      <c r="K86" s="12"/>
      <c r="L86" s="13"/>
    </row>
    <row r="87" spans="2:13" x14ac:dyDescent="0.4">
      <c r="C87" s="11"/>
      <c r="D87" s="12"/>
      <c r="E87" s="12"/>
      <c r="F87" s="12"/>
      <c r="G87" s="12"/>
      <c r="H87" s="12"/>
      <c r="I87" s="12"/>
      <c r="J87" s="12"/>
      <c r="K87" s="12"/>
      <c r="L87" s="13"/>
    </row>
    <row r="88" spans="2:13" ht="15" thickBot="1" x14ac:dyDescent="0.45">
      <c r="C88" s="14"/>
      <c r="D88" s="15"/>
      <c r="E88" s="15"/>
      <c r="F88" s="15"/>
      <c r="G88" s="15"/>
      <c r="H88" s="15"/>
      <c r="I88" s="15"/>
      <c r="J88" s="15"/>
      <c r="K88" s="15"/>
      <c r="L88" s="16"/>
    </row>
    <row r="90" spans="2:13" ht="20.6" x14ac:dyDescent="0.55000000000000004">
      <c r="C90" s="3" t="s">
        <v>105</v>
      </c>
      <c r="E90" s="17" t="str">
        <f>VLOOKUP($C$6,Resultados!A:O,8,0)</f>
        <v>d</v>
      </c>
      <c r="F90" s="17"/>
      <c r="G90" s="3" t="str">
        <f>IF(E90="a",VLOOKUP(C85,Perguntas!A:F,2,0),
IF(E90="b",VLOOKUP(C85,Perguntas!A:F,3,0),
IF(E90="c",VLOOKUP(C85,Perguntas!A:F,4,0),
IF(E90="d",VLOOKUP(C85,Perguntas!A:F,5,0),"Resposta não encontrada"))))</f>
        <v>Digitando manualmente</v>
      </c>
    </row>
    <row r="92" spans="2:13" ht="20.6" x14ac:dyDescent="0.55000000000000004">
      <c r="C92" s="3" t="s">
        <v>106</v>
      </c>
      <c r="E92" s="17" t="str">
        <f>VLOOKUP(C85,Perguntas!A:F,6,0)</f>
        <v>b</v>
      </c>
      <c r="F92" s="17"/>
      <c r="G92" s="3" t="str">
        <f>IF(E92="a",VLOOKUP(C85,Perguntas!A:F,2,0),
IF(E92="b",VLOOKUP(C85,Perguntas!A:F,3,0),
IF(E92="c",VLOOKUP(C85,Perguntas!A:F,4,0),
IF(E92="d",VLOOKUP(C85,Perguntas!A:F,5,0),"Resposta não encontrada"))))</f>
        <v>Usando o "Congelar Painéis"</v>
      </c>
    </row>
    <row r="94" spans="2:13" ht="20.6" x14ac:dyDescent="0.55000000000000004">
      <c r="C94" s="3" t="s">
        <v>107</v>
      </c>
      <c r="E94" s="17" t="str">
        <f>IF(E90=E92,"Certo","Errado")</f>
        <v>Errado</v>
      </c>
      <c r="F94" s="17"/>
      <c r="G94" s="3"/>
    </row>
    <row r="96" spans="2:13" ht="3.9" customHeight="1" x14ac:dyDescent="0.4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</row>
    <row r="98" spans="2:13" ht="21" thickBot="1" x14ac:dyDescent="0.6">
      <c r="B98" s="3"/>
      <c r="C98" s="4"/>
    </row>
    <row r="99" spans="2:13" ht="20.6" x14ac:dyDescent="0.55000000000000004">
      <c r="B99" s="3" t="s">
        <v>113</v>
      </c>
      <c r="C99" s="8" t="str">
        <f>Perguntas!A8</f>
        <v>Qual é a função no Excel para encontrar o valor mínimo em um intervalo de células?</v>
      </c>
      <c r="D99" s="9"/>
      <c r="E99" s="9"/>
      <c r="F99" s="9"/>
      <c r="G99" s="9"/>
      <c r="H99" s="9"/>
      <c r="I99" s="9"/>
      <c r="J99" s="9"/>
      <c r="K99" s="9"/>
      <c r="L99" s="10"/>
    </row>
    <row r="100" spans="2:13" x14ac:dyDescent="0.4">
      <c r="C100" s="11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2:13" x14ac:dyDescent="0.4">
      <c r="C101" s="11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2:13" ht="15" thickBot="1" x14ac:dyDescent="0.45">
      <c r="C102" s="14"/>
      <c r="D102" s="15"/>
      <c r="E102" s="15"/>
      <c r="F102" s="15"/>
      <c r="G102" s="15"/>
      <c r="H102" s="15"/>
      <c r="I102" s="15"/>
      <c r="J102" s="15"/>
      <c r="K102" s="15"/>
      <c r="L102" s="16"/>
    </row>
    <row r="103" spans="2:13" ht="20.6" x14ac:dyDescent="0.55000000000000004">
      <c r="B103" s="3"/>
      <c r="C103" s="4"/>
    </row>
    <row r="104" spans="2:13" ht="20.6" x14ac:dyDescent="0.55000000000000004">
      <c r="C104" s="3" t="s">
        <v>105</v>
      </c>
      <c r="E104" s="17" t="str">
        <f>VLOOKUP($C$6,Resultados!A:O,9,0)</f>
        <v>d</v>
      </c>
      <c r="F104" s="17"/>
      <c r="G104" s="3" t="str">
        <f>IF(E104="a",VLOOKUP(C99,Perguntas!A:F,2,0),
IF(E104="b",VLOOKUP(C99,Perguntas!A:F,3,0),
IF(E104="c",VLOOKUP(C99,Perguntas!A:F,4,0),
IF(E104="d",VLOOKUP(C99,Perguntas!A:F,5,0),"Resposta não encontrada"))))</f>
        <v>MINVAL()</v>
      </c>
    </row>
    <row r="106" spans="2:13" ht="20.6" x14ac:dyDescent="0.55000000000000004">
      <c r="C106" s="3" t="s">
        <v>106</v>
      </c>
      <c r="E106" s="17" t="str">
        <f>VLOOKUP(C99,Perguntas!A:F,6,0)</f>
        <v>a</v>
      </c>
      <c r="F106" s="17"/>
      <c r="G106" s="3" t="str">
        <f>IF(E106="a",VLOOKUP(C99,Perguntas!A:F,2,0),
IF(E106="b",VLOOKUP(C99,Perguntas!A:F,3,0),
IF(E106="c",VLOOKUP(C99,Perguntas!A:F,4,0),
IF(E106="d",VLOOKUP(C99,Perguntas!A:F,5,0),"Resposta não encontrada"))))</f>
        <v>MÍNIMO()</v>
      </c>
    </row>
    <row r="108" spans="2:13" ht="20.6" x14ac:dyDescent="0.55000000000000004">
      <c r="C108" s="3" t="s">
        <v>107</v>
      </c>
      <c r="E108" s="17" t="str">
        <f>IF(E104=E106,"Certo","Errado")</f>
        <v>Errado</v>
      </c>
      <c r="F108" s="17"/>
      <c r="G108" s="3"/>
    </row>
    <row r="110" spans="2:13" ht="3.9" customHeight="1" x14ac:dyDescent="0.4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</row>
    <row r="112" spans="2:13" ht="15" thickBot="1" x14ac:dyDescent="0.45"/>
    <row r="113" spans="2:13" ht="20.6" x14ac:dyDescent="0.55000000000000004">
      <c r="B113" s="3" t="s">
        <v>114</v>
      </c>
      <c r="C113" s="8" t="str">
        <f>Perguntas!A9</f>
        <v>Qual função você usaria para contar quantas vezes um valor específico aparece em um intervalo de células?</v>
      </c>
      <c r="D113" s="9"/>
      <c r="E113" s="9"/>
      <c r="F113" s="9"/>
      <c r="G113" s="9"/>
      <c r="H113" s="9"/>
      <c r="I113" s="9"/>
      <c r="J113" s="9"/>
      <c r="K113" s="9"/>
      <c r="L113" s="10"/>
    </row>
    <row r="114" spans="2:13" x14ac:dyDescent="0.4">
      <c r="C114" s="11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2:13" x14ac:dyDescent="0.4">
      <c r="C115" s="11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2:13" ht="15" thickBot="1" x14ac:dyDescent="0.45">
      <c r="C116" s="14"/>
      <c r="D116" s="15"/>
      <c r="E116" s="15"/>
      <c r="F116" s="15"/>
      <c r="G116" s="15"/>
      <c r="H116" s="15"/>
      <c r="I116" s="15"/>
      <c r="J116" s="15"/>
      <c r="K116" s="15"/>
      <c r="L116" s="16"/>
    </row>
    <row r="118" spans="2:13" ht="20.6" x14ac:dyDescent="0.55000000000000004">
      <c r="C118" s="3" t="s">
        <v>105</v>
      </c>
      <c r="E118" s="17" t="str">
        <f>VLOOKUP($C$6,Resultados!A:O,10,0)</f>
        <v>d</v>
      </c>
      <c r="F118" s="17"/>
      <c r="G118" s="3" t="str">
        <f>IF(E118="a",VLOOKUP(C113,Perguntas!A:F,2,0),
IF(E118="b",VLOOKUP(C113,Perguntas!A:F,3,0),
IF(E118="c",VLOOKUP(C113,Perguntas!A:F,4,0),
IF(E118="d",VLOOKUP(C113,Perguntas!A:F,5,0),"Resposta não encontrada"))))</f>
        <v>CONT.NUM()</v>
      </c>
    </row>
    <row r="120" spans="2:13" ht="20.6" x14ac:dyDescent="0.55000000000000004">
      <c r="C120" s="3" t="s">
        <v>106</v>
      </c>
      <c r="E120" s="17" t="str">
        <f>VLOOKUP(C113,Perguntas!A:F,6,0)</f>
        <v>b</v>
      </c>
      <c r="F120" s="17"/>
      <c r="G120" s="3" t="str">
        <f>IF(E120="a",VLOOKUP(C113,Perguntas!A:F,2,0),
IF(E120="b",VLOOKUP(C113,Perguntas!A:F,3,0),
IF(E120="c",VLOOKUP(C113,Perguntas!A:F,4,0),
IF(E120="d",VLOOKUP(C113,Perguntas!A:F,5,0),"Resposta não encontrada"))))</f>
        <v>CONT.SE()</v>
      </c>
    </row>
    <row r="122" spans="2:13" ht="20.6" x14ac:dyDescent="0.55000000000000004">
      <c r="C122" s="3" t="s">
        <v>107</v>
      </c>
      <c r="E122" s="17" t="str">
        <f>IF(E118=E120,"Certo","Errado")</f>
        <v>Errado</v>
      </c>
      <c r="F122" s="17"/>
      <c r="G122" s="3"/>
    </row>
    <row r="124" spans="2:13" ht="3.9" customHeight="1" x14ac:dyDescent="0.4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</row>
    <row r="125" spans="2:13" ht="15" customHeight="1" x14ac:dyDescent="0.55000000000000004">
      <c r="B125" s="3"/>
      <c r="C125" s="4"/>
    </row>
    <row r="126" spans="2:13" ht="15" customHeight="1" thickBot="1" x14ac:dyDescent="0.6">
      <c r="B126" s="3"/>
      <c r="C126" s="4"/>
    </row>
    <row r="127" spans="2:13" ht="20.6" x14ac:dyDescent="0.55000000000000004">
      <c r="B127" s="3" t="s">
        <v>115</v>
      </c>
      <c r="C127" s="8" t="str">
        <f>Perguntas!A10</f>
        <v>Qual recurso é usado para organizar dados em ordem ascendente ou descendente?</v>
      </c>
      <c r="D127" s="9"/>
      <c r="E127" s="9"/>
      <c r="F127" s="9"/>
      <c r="G127" s="9"/>
      <c r="H127" s="9"/>
      <c r="I127" s="9"/>
      <c r="J127" s="9"/>
      <c r="K127" s="9"/>
      <c r="L127" s="10"/>
    </row>
    <row r="128" spans="2:13" x14ac:dyDescent="0.4">
      <c r="C128" s="11"/>
      <c r="D128" s="18"/>
      <c r="E128" s="18"/>
      <c r="F128" s="18"/>
      <c r="G128" s="18"/>
      <c r="H128" s="18"/>
      <c r="I128" s="18"/>
      <c r="J128" s="18"/>
      <c r="K128" s="18"/>
      <c r="L128" s="13"/>
    </row>
    <row r="129" spans="2:13" x14ac:dyDescent="0.4">
      <c r="C129" s="11"/>
      <c r="D129" s="18"/>
      <c r="E129" s="18"/>
      <c r="F129" s="18"/>
      <c r="G129" s="18"/>
      <c r="H129" s="18"/>
      <c r="I129" s="18"/>
      <c r="J129" s="18"/>
      <c r="K129" s="18"/>
      <c r="L129" s="13"/>
    </row>
    <row r="130" spans="2:13" ht="15" thickBot="1" x14ac:dyDescent="0.45">
      <c r="C130" s="14"/>
      <c r="D130" s="15"/>
      <c r="E130" s="15"/>
      <c r="F130" s="15"/>
      <c r="G130" s="15"/>
      <c r="H130" s="15"/>
      <c r="I130" s="15"/>
      <c r="J130" s="15"/>
      <c r="K130" s="15"/>
      <c r="L130" s="16"/>
    </row>
    <row r="131" spans="2:13" ht="20.6" x14ac:dyDescent="0.55000000000000004">
      <c r="B131" s="3"/>
      <c r="C131" s="4"/>
    </row>
    <row r="132" spans="2:13" ht="20.6" x14ac:dyDescent="0.55000000000000004">
      <c r="C132" s="3" t="s">
        <v>105</v>
      </c>
      <c r="E132" s="17" t="str">
        <f>VLOOKUP($C$6,Resultados!A:O,11,0)</f>
        <v>d</v>
      </c>
      <c r="F132" s="17"/>
      <c r="G132" s="3" t="str">
        <f>IF(E132="a",VLOOKUP(C127,Perguntas!A:F,2,0),
IF(E132="b",VLOOKUP(C127,Perguntas!A:F,3,0),
IF(E132="c",VLOOKUP(C127,Perguntas!A:F,4,0),
IF(E132="d",VLOOKUP(C127,Perguntas!A:F,5,0),"Resposta não encontrada"))))</f>
        <v>Gráfico</v>
      </c>
    </row>
    <row r="134" spans="2:13" ht="20.6" x14ac:dyDescent="0.55000000000000004">
      <c r="C134" s="3" t="s">
        <v>106</v>
      </c>
      <c r="E134" s="17" t="str">
        <f>VLOOKUP(C127,Perguntas!A:F,6,0)</f>
        <v>a</v>
      </c>
      <c r="F134" s="17"/>
      <c r="G134" s="3" t="str">
        <f>IF(E134="a",VLOOKUP(C127,Perguntas!A:F,2,0),
IF(E134="b",VLOOKUP(C127,Perguntas!A:F,3,0),
IF(E134="c",VLOOKUP(C127,Perguntas!A:F,4,0),
IF(E134="d",VLOOKUP(C127,Perguntas!A:F,5,0),"Resposta não encontrada"))))</f>
        <v>Classificar</v>
      </c>
    </row>
    <row r="136" spans="2:13" ht="20.6" x14ac:dyDescent="0.55000000000000004">
      <c r="C136" s="3" t="s">
        <v>107</v>
      </c>
      <c r="E136" s="17" t="str">
        <f>IF(E132=E134,"Certo","Errado")</f>
        <v>Errado</v>
      </c>
      <c r="F136" s="17"/>
      <c r="G136" s="3"/>
    </row>
    <row r="138" spans="2:13" ht="3.9" customHeight="1" x14ac:dyDescent="0.4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</row>
    <row r="140" spans="2:13" ht="15" thickBot="1" x14ac:dyDescent="0.45"/>
    <row r="141" spans="2:13" ht="20.6" x14ac:dyDescent="0.55000000000000004">
      <c r="B141" s="3" t="s">
        <v>116</v>
      </c>
      <c r="C141" s="19" t="str">
        <f>Perguntas!A11</f>
        <v>Qual função permite testar uma condição e retornar um valor se essa condição for verdadeira e outro valor se for falsa?</v>
      </c>
      <c r="D141" s="20"/>
      <c r="E141" s="20"/>
      <c r="F141" s="20"/>
      <c r="G141" s="20"/>
      <c r="H141" s="20"/>
      <c r="I141" s="20"/>
      <c r="J141" s="20"/>
      <c r="K141" s="20"/>
      <c r="L141" s="21"/>
    </row>
    <row r="142" spans="2:13" ht="20.6" customHeight="1" x14ac:dyDescent="0.4">
      <c r="C142" s="22"/>
      <c r="D142" s="23"/>
      <c r="E142" s="23"/>
      <c r="F142" s="23"/>
      <c r="G142" s="23"/>
      <c r="H142" s="23"/>
      <c r="I142" s="23"/>
      <c r="J142" s="23"/>
      <c r="K142" s="23"/>
      <c r="L142" s="24"/>
    </row>
    <row r="143" spans="2:13" ht="14.6" customHeight="1" x14ac:dyDescent="0.4">
      <c r="C143" s="22"/>
      <c r="D143" s="23"/>
      <c r="E143" s="23"/>
      <c r="F143" s="23"/>
      <c r="G143" s="23"/>
      <c r="H143" s="23"/>
      <c r="I143" s="23"/>
      <c r="J143" s="23"/>
      <c r="K143" s="23"/>
      <c r="L143" s="24"/>
    </row>
    <row r="144" spans="2:13" ht="14.6" customHeight="1" thickBot="1" x14ac:dyDescent="0.45">
      <c r="C144" s="25"/>
      <c r="D144" s="26"/>
      <c r="E144" s="26"/>
      <c r="F144" s="26"/>
      <c r="G144" s="26"/>
      <c r="H144" s="26"/>
      <c r="I144" s="26"/>
      <c r="J144" s="26"/>
      <c r="K144" s="26"/>
      <c r="L144" s="27"/>
    </row>
    <row r="145" spans="2:13" ht="15" customHeight="1" x14ac:dyDescent="0.4"/>
    <row r="146" spans="2:13" ht="20.6" x14ac:dyDescent="0.55000000000000004">
      <c r="C146" s="3" t="s">
        <v>105</v>
      </c>
      <c r="E146" s="6" t="str">
        <f>VLOOKUP($C$6,Resultados!A:O,12,0)</f>
        <v>d</v>
      </c>
      <c r="F146" s="6"/>
      <c r="G146" s="3" t="str">
        <f>IF(E146="a",VLOOKUP(C141,Perguntas!A:F,2,0),
IF(E146="b",VLOOKUP(C141,Perguntas!A:F,3,0),
IF(E146="c",VLOOKUP(C141,Perguntas!A:F,4,0),
IF(E146="d",VLOOKUP(C141,Perguntas!A:F,5,0),"Resposta não encontrada"))))</f>
        <v>NÃO()</v>
      </c>
    </row>
    <row r="148" spans="2:13" ht="20.6" x14ac:dyDescent="0.55000000000000004">
      <c r="C148" s="3" t="s">
        <v>106</v>
      </c>
      <c r="E148" s="6" t="str">
        <f>VLOOKUP(C141,Perguntas!A:F,6,0)</f>
        <v>a</v>
      </c>
      <c r="F148" s="6"/>
      <c r="G148" s="3" t="str">
        <f>IF(E148="a",VLOOKUP(C141,Perguntas!A:F,2,0),
IF(E148="b",VLOOKUP(C141,Perguntas!A:F,3,0),
IF(E148="c",VLOOKUP(C141,Perguntas!A:F,4,0),
IF(E148="d",VLOOKUP(C141,Perguntas!A:F,5,0),"Resposta não encontrada"))))</f>
        <v>SE()</v>
      </c>
    </row>
    <row r="150" spans="2:13" ht="20.6" x14ac:dyDescent="0.55000000000000004">
      <c r="C150" s="3" t="s">
        <v>107</v>
      </c>
      <c r="E150" s="6" t="str">
        <f>IF(E146=E148,"Certo","Errado")</f>
        <v>Errado</v>
      </c>
      <c r="F150" s="6"/>
      <c r="G150" s="3"/>
    </row>
    <row r="152" spans="2:13" ht="3.9" customHeight="1" x14ac:dyDescent="0.4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67" spans="2:3" ht="20.6" x14ac:dyDescent="0.55000000000000004">
      <c r="B167" s="3"/>
      <c r="C167" s="4"/>
    </row>
    <row r="168" spans="2:3" x14ac:dyDescent="0.4">
      <c r="C168" s="5"/>
    </row>
    <row r="169" spans="2:3" ht="20.6" x14ac:dyDescent="0.55000000000000004">
      <c r="B169" s="3"/>
      <c r="C169" s="4"/>
    </row>
    <row r="170" spans="2:3" ht="20.6" x14ac:dyDescent="0.55000000000000004">
      <c r="B170" s="3"/>
      <c r="C170" s="4"/>
    </row>
    <row r="171" spans="2:3" ht="20.6" x14ac:dyDescent="0.55000000000000004">
      <c r="B171" s="3"/>
      <c r="C171" s="4"/>
    </row>
    <row r="172" spans="2:3" ht="20.6" x14ac:dyDescent="0.55000000000000004">
      <c r="B172" s="3"/>
      <c r="C172" s="4"/>
    </row>
    <row r="199" ht="20.6" customHeight="1" x14ac:dyDescent="0.4"/>
    <row r="200" ht="14.6" customHeight="1" x14ac:dyDescent="0.4"/>
    <row r="202" ht="15" customHeight="1" x14ac:dyDescent="0.4"/>
    <row r="205" ht="18" customHeight="1" x14ac:dyDescent="0.4"/>
    <row r="213" ht="20.6" customHeight="1" x14ac:dyDescent="0.4"/>
    <row r="214" ht="14.6" customHeight="1" x14ac:dyDescent="0.4"/>
    <row r="215" ht="14.6" customHeight="1" x14ac:dyDescent="0.4"/>
    <row r="216" ht="15" customHeight="1" x14ac:dyDescent="0.4"/>
  </sheetData>
  <mergeCells count="38">
    <mergeCell ref="C3:K3"/>
    <mergeCell ref="C141:L144"/>
    <mergeCell ref="C127:L130"/>
    <mergeCell ref="E132:F132"/>
    <mergeCell ref="E134:F134"/>
    <mergeCell ref="E136:F136"/>
    <mergeCell ref="E108:F108"/>
    <mergeCell ref="C113:L116"/>
    <mergeCell ref="E118:F118"/>
    <mergeCell ref="E120:F120"/>
    <mergeCell ref="E122:F122"/>
    <mergeCell ref="E92:F92"/>
    <mergeCell ref="E94:F94"/>
    <mergeCell ref="C99:L102"/>
    <mergeCell ref="E104:F104"/>
    <mergeCell ref="E106:F106"/>
    <mergeCell ref="E76:F76"/>
    <mergeCell ref="E78:F78"/>
    <mergeCell ref="E80:F80"/>
    <mergeCell ref="C85:L88"/>
    <mergeCell ref="E90:F90"/>
    <mergeCell ref="C57:L60"/>
    <mergeCell ref="E62:F62"/>
    <mergeCell ref="E64:F64"/>
    <mergeCell ref="E66:F66"/>
    <mergeCell ref="C71:L74"/>
    <mergeCell ref="C43:L46"/>
    <mergeCell ref="E48:F48"/>
    <mergeCell ref="E50:F50"/>
    <mergeCell ref="E52:F52"/>
    <mergeCell ref="E34:F34"/>
    <mergeCell ref="E36:F36"/>
    <mergeCell ref="E38:F38"/>
    <mergeCell ref="C15:L18"/>
    <mergeCell ref="E20:F20"/>
    <mergeCell ref="E22:F22"/>
    <mergeCell ref="E24:F24"/>
    <mergeCell ref="C29:L3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Perguntas</vt:lpstr>
      <vt:lpstr>Candidatos</vt:lpstr>
      <vt:lpstr>Resultados</vt:lpstr>
      <vt:lpstr>Detalhe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2025-03-05T22:10:55Z</dcterms:created>
  <dcterms:modified xsi:type="dcterms:W3CDTF">2025-03-13T04:12:50Z</dcterms:modified>
</cp:coreProperties>
</file>