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00000000-0000-0000-0000-0000000000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C1DB00E9-29E1-4588-BD0C-9065E29B55BF}" xr6:coauthVersionLast="47" xr6:coauthVersionMax="47" xr10:uidLastSave="{00000000-0000-0000-0000-000000000000}"/>
  <bookViews>
    <workbookView xWindow="-86" yWindow="0" windowWidth="16629" windowHeight="17880" activeTab="3" xr2:uid="{09E5D34C-16C4-42E3-B670-7AD0626A0C00}"/>
  </bookViews>
  <sheets>
    <sheet name="Estados" sheetId="3" r:id="rId1"/>
    <sheet name="Dados" sheetId="2" r:id="rId2"/>
    <sheet name="Principal" sheetId="1" r:id="rId3"/>
    <sheet name="Relatório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4" l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2" i="4"/>
</calcChain>
</file>

<file path=xl/sharedStrings.xml><?xml version="1.0" encoding="utf-8"?>
<sst xmlns="http://schemas.openxmlformats.org/spreadsheetml/2006/main" count="871" uniqueCount="274">
  <si>
    <t>Nome</t>
  </si>
  <si>
    <t>Sigla</t>
  </si>
  <si>
    <t>Municipio</t>
  </si>
  <si>
    <t>Profissão</t>
  </si>
  <si>
    <t>Horas trabalhadas</t>
  </si>
  <si>
    <t>Horas Semanais</t>
  </si>
  <si>
    <t>% Trabalhado</t>
  </si>
  <si>
    <t>Alice</t>
  </si>
  <si>
    <t>RO</t>
  </si>
  <si>
    <t>São Miguel do Guaporé</t>
  </si>
  <si>
    <t>Administrador</t>
  </si>
  <si>
    <t>Sophia</t>
  </si>
  <si>
    <t>Seringueiras</t>
  </si>
  <si>
    <t>Administrador público</t>
  </si>
  <si>
    <t>Helena</t>
  </si>
  <si>
    <t>Teixeirópolis</t>
  </si>
  <si>
    <t>Agropecuarista</t>
  </si>
  <si>
    <t>Valentina</t>
  </si>
  <si>
    <t>Theobroma</t>
  </si>
  <si>
    <t>Contabilista</t>
  </si>
  <si>
    <t>Danilo</t>
  </si>
  <si>
    <t>Urupá</t>
  </si>
  <si>
    <t>Economista</t>
  </si>
  <si>
    <t>Anthony Gabriel</t>
  </si>
  <si>
    <t>Vale do Anari</t>
  </si>
  <si>
    <t>Especialista em comércio exterior</t>
  </si>
  <si>
    <t>Ruan</t>
  </si>
  <si>
    <t>Vale do Paraíso</t>
  </si>
  <si>
    <t>Gerente comercial</t>
  </si>
  <si>
    <t>Miguel Henrique</t>
  </si>
  <si>
    <t>Vilhena</t>
  </si>
  <si>
    <t>Gestor de recursos humanos</t>
  </si>
  <si>
    <t>Oliver</t>
  </si>
  <si>
    <t>AC</t>
  </si>
  <si>
    <t>Acrelândia</t>
  </si>
  <si>
    <t>Gestor de turismo</t>
  </si>
  <si>
    <t>Luiza</t>
  </si>
  <si>
    <t>Assis Brasil</t>
  </si>
  <si>
    <t>Gestor público</t>
  </si>
  <si>
    <t>Maria Luiza</t>
  </si>
  <si>
    <t>Brasiléia</t>
  </si>
  <si>
    <t>Hoteleiro</t>
  </si>
  <si>
    <t>Lorena</t>
  </si>
  <si>
    <t>Bujari</t>
  </si>
  <si>
    <t>Piloto de avião</t>
  </si>
  <si>
    <t>Lívia</t>
  </si>
  <si>
    <t>AM</t>
  </si>
  <si>
    <t>Novo Airão</t>
  </si>
  <si>
    <t>Turismólogo</t>
  </si>
  <si>
    <t>Giovanna</t>
  </si>
  <si>
    <t>Novo Aripuanã</t>
  </si>
  <si>
    <t>Artes e Design</t>
  </si>
  <si>
    <t>Maria Eduarda</t>
  </si>
  <si>
    <t>Parintins</t>
  </si>
  <si>
    <t>Animador</t>
  </si>
  <si>
    <t>Beatriz</t>
  </si>
  <si>
    <t>Pauini</t>
  </si>
  <si>
    <t>Arquiteto</t>
  </si>
  <si>
    <t>Maria Clara</t>
  </si>
  <si>
    <t>Presidente Figueiredo</t>
  </si>
  <si>
    <t>Artista plástico</t>
  </si>
  <si>
    <t>Cecília</t>
  </si>
  <si>
    <t>Rio Preto da Eva</t>
  </si>
  <si>
    <t>Ator</t>
  </si>
  <si>
    <t>Eloá</t>
  </si>
  <si>
    <t>Santa Isabel do Rio Negro</t>
  </si>
  <si>
    <t>Dançarino</t>
  </si>
  <si>
    <t>Miguel</t>
  </si>
  <si>
    <t>Santo Antônio do Içá</t>
  </si>
  <si>
    <t>Fotógrafo</t>
  </si>
  <si>
    <t>Arthur</t>
  </si>
  <si>
    <t>São Gabriel da Cachoeira</t>
  </si>
  <si>
    <t>Historiador da arte</t>
  </si>
  <si>
    <t>Bernardo</t>
  </si>
  <si>
    <t>São Paulo de Olivença</t>
  </si>
  <si>
    <t>Músico</t>
  </si>
  <si>
    <t>Heitor</t>
  </si>
  <si>
    <t>São Sebastião do Uatumã</t>
  </si>
  <si>
    <t>Produtor cênico</t>
  </si>
  <si>
    <t>Davi</t>
  </si>
  <si>
    <t>Silves</t>
  </si>
  <si>
    <t>Produtor fonográfico</t>
  </si>
  <si>
    <t>Ana Júlia</t>
  </si>
  <si>
    <t>Tabatinga</t>
  </si>
  <si>
    <t>Ciências Biológicas e da Terra</t>
  </si>
  <si>
    <t>Ana Luiza</t>
  </si>
  <si>
    <t>Tapauá</t>
  </si>
  <si>
    <t>Agrônomo</t>
  </si>
  <si>
    <t>Ana Clara</t>
  </si>
  <si>
    <t>Tefé</t>
  </si>
  <si>
    <t>Bioquímico</t>
  </si>
  <si>
    <t>Melissa</t>
  </si>
  <si>
    <t>Tonantins</t>
  </si>
  <si>
    <t>Biotecnólogo</t>
  </si>
  <si>
    <t>Yasmin</t>
  </si>
  <si>
    <t>Uarini</t>
  </si>
  <si>
    <t>Ecologista</t>
  </si>
  <si>
    <t>Maria Alice</t>
  </si>
  <si>
    <t>Urucará</t>
  </si>
  <si>
    <t>Geofísico</t>
  </si>
  <si>
    <t>Isabelly</t>
  </si>
  <si>
    <t>Urucurituba</t>
  </si>
  <si>
    <t>Geólogo</t>
  </si>
  <si>
    <t>Lavínia</t>
  </si>
  <si>
    <t>RR</t>
  </si>
  <si>
    <t>Alto Alegre</t>
  </si>
  <si>
    <t>Gestor ambiental</t>
  </si>
  <si>
    <t>Esther</t>
  </si>
  <si>
    <t>Amajari</t>
  </si>
  <si>
    <t>Sarah</t>
  </si>
  <si>
    <t>Uiramutã</t>
  </si>
  <si>
    <t>Elisa</t>
  </si>
  <si>
    <t>PA</t>
  </si>
  <si>
    <t>Abaetetuba</t>
  </si>
  <si>
    <t>Antonella</t>
  </si>
  <si>
    <t>Abel Figueiredo</t>
  </si>
  <si>
    <t>Rafaela</t>
  </si>
  <si>
    <t>Acará</t>
  </si>
  <si>
    <t>Maria Cecília</t>
  </si>
  <si>
    <t>AP</t>
  </si>
  <si>
    <t>Pracuúba</t>
  </si>
  <si>
    <t>Liz</t>
  </si>
  <si>
    <t>Santana</t>
  </si>
  <si>
    <t>Marina</t>
  </si>
  <si>
    <t>Serra do Navio</t>
  </si>
  <si>
    <t>Nicole</t>
  </si>
  <si>
    <t>Tartarugalzinho</t>
  </si>
  <si>
    <t>Maitê</t>
  </si>
  <si>
    <t>Vitória do Jari</t>
  </si>
  <si>
    <t>Isis</t>
  </si>
  <si>
    <t>TO</t>
  </si>
  <si>
    <t>Abreulândia</t>
  </si>
  <si>
    <t>Alícia</t>
  </si>
  <si>
    <t>Aguiarnópolis</t>
  </si>
  <si>
    <t>Luna</t>
  </si>
  <si>
    <t>Aliança do Tocantins</t>
  </si>
  <si>
    <t>Rebeca</t>
  </si>
  <si>
    <t>Almas</t>
  </si>
  <si>
    <t>Agatha</t>
  </si>
  <si>
    <t>Alvorada</t>
  </si>
  <si>
    <t>Letícia</t>
  </si>
  <si>
    <t>MA</t>
  </si>
  <si>
    <t>Jatobá</t>
  </si>
  <si>
    <t>Maria-</t>
  </si>
  <si>
    <t>Jenipapo dos Vieiras</t>
  </si>
  <si>
    <t>Gabriela</t>
  </si>
  <si>
    <t>João Lisboa</t>
  </si>
  <si>
    <t>Ana Laura</t>
  </si>
  <si>
    <t>Joselândia</t>
  </si>
  <si>
    <t>Catarina</t>
  </si>
  <si>
    <t>RJ</t>
  </si>
  <si>
    <t>Varre-Sai</t>
  </si>
  <si>
    <t>Clara</t>
  </si>
  <si>
    <t>Vassouras</t>
  </si>
  <si>
    <t>Ana Beatriz</t>
  </si>
  <si>
    <t>Volta Redonda</t>
  </si>
  <si>
    <t>Vitória</t>
  </si>
  <si>
    <t>SP</t>
  </si>
  <si>
    <t>Adamantina</t>
  </si>
  <si>
    <t>Olívia</t>
  </si>
  <si>
    <t>Adolfo</t>
  </si>
  <si>
    <t>Maria Fernanda</t>
  </si>
  <si>
    <t>Osasco</t>
  </si>
  <si>
    <t>Emilly</t>
  </si>
  <si>
    <t>Oscar Bressane</t>
  </si>
  <si>
    <t>Maria Valentina</t>
  </si>
  <si>
    <t>Osvaldo Cruz</t>
  </si>
  <si>
    <t>Milena</t>
  </si>
  <si>
    <t>Ourinhos</t>
  </si>
  <si>
    <t>Maria Helena</t>
  </si>
  <si>
    <t>Ouro Verde</t>
  </si>
  <si>
    <t>Bianca</t>
  </si>
  <si>
    <t>PR</t>
  </si>
  <si>
    <t>Braganey</t>
  </si>
  <si>
    <t>Larissa</t>
  </si>
  <si>
    <t>Brasilândia do Sul</t>
  </si>
  <si>
    <t>Mirella</t>
  </si>
  <si>
    <t>Cafeara</t>
  </si>
  <si>
    <t>Maria Flor</t>
  </si>
  <si>
    <t>SC</t>
  </si>
  <si>
    <t>Ponte Alta do Norte</t>
  </si>
  <si>
    <t>Allana</t>
  </si>
  <si>
    <t>Ponte Serrada</t>
  </si>
  <si>
    <t>Ana Sophia</t>
  </si>
  <si>
    <t>Santa Cecília</t>
  </si>
  <si>
    <t>Clarice</t>
  </si>
  <si>
    <t>Porto União</t>
  </si>
  <si>
    <t>Pietra</t>
  </si>
  <si>
    <t>GO</t>
  </si>
  <si>
    <t>Turvelândia</t>
  </si>
  <si>
    <t>Maria Vitória</t>
  </si>
  <si>
    <t>Uirapuru</t>
  </si>
  <si>
    <t>Maya</t>
  </si>
  <si>
    <t>Uruaçu</t>
  </si>
  <si>
    <t>Laís</t>
  </si>
  <si>
    <t>Uruana</t>
  </si>
  <si>
    <t>Ayla</t>
  </si>
  <si>
    <t>Urutaí</t>
  </si>
  <si>
    <t>Ana Lívia</t>
  </si>
  <si>
    <t>Valparaíso de Goiás</t>
  </si>
  <si>
    <t>Eduarda</t>
  </si>
  <si>
    <t>Varjão</t>
  </si>
  <si>
    <t>Mariah</t>
  </si>
  <si>
    <t>Vianópolis</t>
  </si>
  <si>
    <t>Stella</t>
  </si>
  <si>
    <t>Vicentinópolis</t>
  </si>
  <si>
    <t>Ana</t>
  </si>
  <si>
    <t>Vila Boa</t>
  </si>
  <si>
    <t>Gabrielly</t>
  </si>
  <si>
    <t>Vila Propício</t>
  </si>
  <si>
    <t>Sophie</t>
  </si>
  <si>
    <t>DF</t>
  </si>
  <si>
    <t>Brasília</t>
  </si>
  <si>
    <t>Carolina</t>
  </si>
  <si>
    <t>Maria Laura</t>
  </si>
  <si>
    <t>Maria Heloísa</t>
  </si>
  <si>
    <t>Maria Sophia</t>
  </si>
  <si>
    <t>Fernanda</t>
  </si>
  <si>
    <t>Malu</t>
  </si>
  <si>
    <t>Enzo</t>
  </si>
  <si>
    <t>Matheus</t>
  </si>
  <si>
    <t>Lucas</t>
  </si>
  <si>
    <t>Benjamin</t>
  </si>
  <si>
    <t>Nicolas</t>
  </si>
  <si>
    <t>Guilherme</t>
  </si>
  <si>
    <t>Rafael</t>
  </si>
  <si>
    <t>Joaquim</t>
  </si>
  <si>
    <t>Samuel</t>
  </si>
  <si>
    <t>Enzo Gabriel</t>
  </si>
  <si>
    <t>João Miguel</t>
  </si>
  <si>
    <t>Henrique</t>
  </si>
  <si>
    <t>Isabel</t>
  </si>
  <si>
    <t>Bruna</t>
  </si>
  <si>
    <t>Estado</t>
  </si>
  <si>
    <t>Acre</t>
  </si>
  <si>
    <t>AL</t>
  </si>
  <si>
    <t>Alagoas</t>
  </si>
  <si>
    <t>Amapá</t>
  </si>
  <si>
    <t>Amazonas</t>
  </si>
  <si>
    <t>BA</t>
  </si>
  <si>
    <t>Bahia</t>
  </si>
  <si>
    <t>CE</t>
  </si>
  <si>
    <t>Ceará</t>
  </si>
  <si>
    <t>Distrito Federal</t>
  </si>
  <si>
    <t>ES</t>
  </si>
  <si>
    <t>Espírito Santo</t>
  </si>
  <si>
    <t>Goiás</t>
  </si>
  <si>
    <t>Maranhão</t>
  </si>
  <si>
    <t>MT</t>
  </si>
  <si>
    <t>Mato Grosso</t>
  </si>
  <si>
    <t>MS</t>
  </si>
  <si>
    <t>Mato Grosso do Sul</t>
  </si>
  <si>
    <t>MG</t>
  </si>
  <si>
    <t>Minas Gerais</t>
  </si>
  <si>
    <t>Pará</t>
  </si>
  <si>
    <t>PB</t>
  </si>
  <si>
    <t>Paraíba</t>
  </si>
  <si>
    <t>Paraná</t>
  </si>
  <si>
    <t>PE</t>
  </si>
  <si>
    <t>Pernambuco</t>
  </si>
  <si>
    <t>PI</t>
  </si>
  <si>
    <t>Piauí</t>
  </si>
  <si>
    <t>Rio de Janeiro</t>
  </si>
  <si>
    <t>RN</t>
  </si>
  <si>
    <t>Rio Grande do Norte</t>
  </si>
  <si>
    <t>RS</t>
  </si>
  <si>
    <t>Rio Grande do Sul</t>
  </si>
  <si>
    <t>Rondônia</t>
  </si>
  <si>
    <t>Roraima</t>
  </si>
  <si>
    <t>Santa Catarina</t>
  </si>
  <si>
    <t>São Paulo</t>
  </si>
  <si>
    <t>SE</t>
  </si>
  <si>
    <t>Sergipe</t>
  </si>
  <si>
    <t>Tocantins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</si>
</sst>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2" borderId="1" xfId="0" applyFill="1" applyBorder="1"/>
    <xf numFmtId="0" fontId="0" fillId="2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206829</xdr:colOff>
          <xdr:row>2</xdr:row>
          <xdr:rowOff>141514</xdr:rowOff>
        </xdr:from>
        <xdr:to>
          <xdr:col>10</xdr:col>
          <xdr:colOff>152400</xdr:colOff>
          <xdr:row>7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Formatar Relatório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029AE-9957-43CF-9EB2-0E1319A8D0E8}">
  <sheetPr codeName="Planilha3"/>
  <dimension ref="A1:B28"/>
  <sheetViews>
    <sheetView workbookViewId="0">
      <selection activeCell="G11" sqref="G11"/>
    </sheetView>
  </sheetViews>
  <sheetFormatPr defaultRowHeight="14.6" x14ac:dyDescent="0.4"/>
  <cols>
    <col min="1" max="1" width="9.15234375" style="8" customWidth="1"/>
    <col min="2" max="2" width="17.15234375" style="4" bestFit="1" customWidth="1"/>
  </cols>
  <sheetData>
    <row r="1" spans="1:2" x14ac:dyDescent="0.4">
      <c r="A1" s="7" t="s">
        <v>1</v>
      </c>
      <c r="B1" s="7" t="s">
        <v>233</v>
      </c>
    </row>
    <row r="2" spans="1:2" x14ac:dyDescent="0.4">
      <c r="A2" s="8" t="s">
        <v>33</v>
      </c>
      <c r="B2" s="4" t="s">
        <v>234</v>
      </c>
    </row>
    <row r="3" spans="1:2" x14ac:dyDescent="0.4">
      <c r="A3" s="8" t="s">
        <v>235</v>
      </c>
      <c r="B3" s="4" t="s">
        <v>236</v>
      </c>
    </row>
    <row r="4" spans="1:2" x14ac:dyDescent="0.4">
      <c r="A4" s="8" t="s">
        <v>119</v>
      </c>
      <c r="B4" s="4" t="s">
        <v>237</v>
      </c>
    </row>
    <row r="5" spans="1:2" x14ac:dyDescent="0.4">
      <c r="A5" s="8" t="s">
        <v>46</v>
      </c>
      <c r="B5" s="4" t="s">
        <v>238</v>
      </c>
    </row>
    <row r="6" spans="1:2" x14ac:dyDescent="0.4">
      <c r="A6" s="8" t="s">
        <v>239</v>
      </c>
      <c r="B6" s="4" t="s">
        <v>240</v>
      </c>
    </row>
    <row r="7" spans="1:2" x14ac:dyDescent="0.4">
      <c r="A7" s="8" t="s">
        <v>241</v>
      </c>
      <c r="B7" s="4" t="s">
        <v>242</v>
      </c>
    </row>
    <row r="8" spans="1:2" x14ac:dyDescent="0.4">
      <c r="A8" s="8" t="s">
        <v>211</v>
      </c>
      <c r="B8" s="4" t="s">
        <v>243</v>
      </c>
    </row>
    <row r="9" spans="1:2" x14ac:dyDescent="0.4">
      <c r="A9" s="8" t="s">
        <v>244</v>
      </c>
      <c r="B9" s="4" t="s">
        <v>245</v>
      </c>
    </row>
    <row r="10" spans="1:2" x14ac:dyDescent="0.4">
      <c r="A10" s="8" t="s">
        <v>188</v>
      </c>
      <c r="B10" s="4" t="s">
        <v>246</v>
      </c>
    </row>
    <row r="11" spans="1:2" x14ac:dyDescent="0.4">
      <c r="A11" s="8" t="s">
        <v>141</v>
      </c>
      <c r="B11" s="4" t="s">
        <v>247</v>
      </c>
    </row>
    <row r="12" spans="1:2" x14ac:dyDescent="0.4">
      <c r="A12" s="8" t="s">
        <v>248</v>
      </c>
      <c r="B12" s="4" t="s">
        <v>249</v>
      </c>
    </row>
    <row r="13" spans="1:2" x14ac:dyDescent="0.4">
      <c r="A13" s="8" t="s">
        <v>250</v>
      </c>
      <c r="B13" s="4" t="s">
        <v>251</v>
      </c>
    </row>
    <row r="14" spans="1:2" x14ac:dyDescent="0.4">
      <c r="A14" s="8" t="s">
        <v>252</v>
      </c>
      <c r="B14" s="4" t="s">
        <v>253</v>
      </c>
    </row>
    <row r="15" spans="1:2" x14ac:dyDescent="0.4">
      <c r="A15" s="8" t="s">
        <v>112</v>
      </c>
      <c r="B15" s="4" t="s">
        <v>254</v>
      </c>
    </row>
    <row r="16" spans="1:2" x14ac:dyDescent="0.4">
      <c r="A16" s="8" t="s">
        <v>255</v>
      </c>
      <c r="B16" s="4" t="s">
        <v>256</v>
      </c>
    </row>
    <row r="17" spans="1:2" x14ac:dyDescent="0.4">
      <c r="A17" s="8" t="s">
        <v>172</v>
      </c>
      <c r="B17" s="4" t="s">
        <v>257</v>
      </c>
    </row>
    <row r="18" spans="1:2" x14ac:dyDescent="0.4">
      <c r="A18" s="8" t="s">
        <v>258</v>
      </c>
      <c r="B18" s="4" t="s">
        <v>259</v>
      </c>
    </row>
    <row r="19" spans="1:2" x14ac:dyDescent="0.4">
      <c r="A19" s="8" t="s">
        <v>260</v>
      </c>
      <c r="B19" s="4" t="s">
        <v>261</v>
      </c>
    </row>
    <row r="20" spans="1:2" x14ac:dyDescent="0.4">
      <c r="A20" s="8" t="s">
        <v>150</v>
      </c>
      <c r="B20" s="4" t="s">
        <v>262</v>
      </c>
    </row>
    <row r="21" spans="1:2" x14ac:dyDescent="0.4">
      <c r="A21" s="8" t="s">
        <v>263</v>
      </c>
      <c r="B21" s="4" t="s">
        <v>264</v>
      </c>
    </row>
    <row r="22" spans="1:2" x14ac:dyDescent="0.4">
      <c r="A22" s="8" t="s">
        <v>265</v>
      </c>
      <c r="B22" s="4" t="s">
        <v>266</v>
      </c>
    </row>
    <row r="23" spans="1:2" x14ac:dyDescent="0.4">
      <c r="A23" s="8" t="s">
        <v>8</v>
      </c>
      <c r="B23" s="4" t="s">
        <v>267</v>
      </c>
    </row>
    <row r="24" spans="1:2" x14ac:dyDescent="0.4">
      <c r="A24" s="8" t="s">
        <v>104</v>
      </c>
      <c r="B24" s="4" t="s">
        <v>268</v>
      </c>
    </row>
    <row r="25" spans="1:2" x14ac:dyDescent="0.4">
      <c r="A25" s="8" t="s">
        <v>179</v>
      </c>
      <c r="B25" s="4" t="s">
        <v>269</v>
      </c>
    </row>
    <row r="26" spans="1:2" x14ac:dyDescent="0.4">
      <c r="A26" s="8" t="s">
        <v>157</v>
      </c>
      <c r="B26" s="4" t="s">
        <v>270</v>
      </c>
    </row>
    <row r="27" spans="1:2" x14ac:dyDescent="0.4">
      <c r="A27" s="8" t="s">
        <v>271</v>
      </c>
      <c r="B27" s="4" t="s">
        <v>272</v>
      </c>
    </row>
    <row r="28" spans="1:2" x14ac:dyDescent="0.4">
      <c r="A28" s="8" t="s">
        <v>130</v>
      </c>
      <c r="B28" s="4" t="s">
        <v>273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7758F-2C58-4C53-B12B-37F9833DA227}">
  <sheetPr codeName="Planilha2"/>
  <dimension ref="A1:G101"/>
  <sheetViews>
    <sheetView workbookViewId="0">
      <selection sqref="A1:G1048576"/>
    </sheetView>
  </sheetViews>
  <sheetFormatPr defaultRowHeight="14.6" x14ac:dyDescent="0.4"/>
  <cols>
    <col min="1" max="1" width="14" bestFit="1" customWidth="1"/>
    <col min="2" max="2" width="4.765625" bestFit="1" customWidth="1"/>
    <col min="3" max="3" width="21.765625" bestFit="1" customWidth="1"/>
    <col min="4" max="4" width="28.23046875" bestFit="1" customWidth="1"/>
    <col min="5" max="5" width="15.765625" style="4" bestFit="1" customWidth="1"/>
    <col min="6" max="6" width="14.15234375" style="4" bestFit="1" customWidth="1"/>
    <col min="7" max="7" width="11.69140625" style="4" bestFit="1" customWidth="1"/>
  </cols>
  <sheetData>
    <row r="1" spans="1:7" x14ac:dyDescent="0.4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s="3" t="s">
        <v>6</v>
      </c>
    </row>
    <row r="2" spans="1:7" x14ac:dyDescent="0.4">
      <c r="A2" s="1" t="s">
        <v>7</v>
      </c>
      <c r="B2" s="1" t="s">
        <v>8</v>
      </c>
      <c r="C2" s="1" t="s">
        <v>9</v>
      </c>
      <c r="D2" s="1" t="s">
        <v>10</v>
      </c>
      <c r="E2" s="4">
        <v>17</v>
      </c>
      <c r="F2" s="4">
        <v>40</v>
      </c>
      <c r="G2" s="4">
        <v>0.42499999999999999</v>
      </c>
    </row>
    <row r="3" spans="1:7" x14ac:dyDescent="0.4">
      <c r="A3" s="1" t="s">
        <v>11</v>
      </c>
      <c r="B3" s="1" t="s">
        <v>8</v>
      </c>
      <c r="C3" s="1" t="s">
        <v>12</v>
      </c>
      <c r="D3" s="1" t="s">
        <v>13</v>
      </c>
      <c r="E3" s="4">
        <v>14</v>
      </c>
      <c r="F3" s="4">
        <v>40</v>
      </c>
      <c r="G3" s="4">
        <v>0.35</v>
      </c>
    </row>
    <row r="4" spans="1:7" x14ac:dyDescent="0.4">
      <c r="A4" s="1" t="s">
        <v>14</v>
      </c>
      <c r="B4" s="1" t="s">
        <v>8</v>
      </c>
      <c r="C4" s="1" t="s">
        <v>15</v>
      </c>
      <c r="D4" s="1" t="s">
        <v>16</v>
      </c>
      <c r="E4" s="4">
        <v>16</v>
      </c>
      <c r="F4" s="4">
        <v>40</v>
      </c>
      <c r="G4" s="4">
        <v>0.4</v>
      </c>
    </row>
    <row r="5" spans="1:7" x14ac:dyDescent="0.4">
      <c r="A5" s="1" t="s">
        <v>17</v>
      </c>
      <c r="B5" s="1" t="s">
        <v>8</v>
      </c>
      <c r="C5" s="1" t="s">
        <v>18</v>
      </c>
      <c r="D5" s="1" t="s">
        <v>19</v>
      </c>
      <c r="E5" s="4">
        <v>6</v>
      </c>
      <c r="F5" s="4">
        <v>40</v>
      </c>
      <c r="G5" s="4">
        <v>0.15</v>
      </c>
    </row>
    <row r="6" spans="1:7" x14ac:dyDescent="0.4">
      <c r="A6" s="1" t="s">
        <v>20</v>
      </c>
      <c r="B6" s="1" t="s">
        <v>8</v>
      </c>
      <c r="C6" s="1" t="s">
        <v>21</v>
      </c>
      <c r="D6" s="1" t="s">
        <v>22</v>
      </c>
      <c r="E6" s="4">
        <v>40</v>
      </c>
      <c r="F6" s="4">
        <v>40</v>
      </c>
      <c r="G6" s="4">
        <v>1</v>
      </c>
    </row>
    <row r="7" spans="1:7" x14ac:dyDescent="0.4">
      <c r="A7" s="1" t="s">
        <v>23</v>
      </c>
      <c r="B7" s="1" t="s">
        <v>8</v>
      </c>
      <c r="C7" s="1" t="s">
        <v>24</v>
      </c>
      <c r="D7" s="1" t="s">
        <v>25</v>
      </c>
      <c r="E7" s="4">
        <v>8</v>
      </c>
      <c r="F7" s="4">
        <v>40</v>
      </c>
      <c r="G7" s="4">
        <v>0.2</v>
      </c>
    </row>
    <row r="8" spans="1:7" x14ac:dyDescent="0.4">
      <c r="A8" s="1" t="s">
        <v>26</v>
      </c>
      <c r="B8" s="1" t="s">
        <v>8</v>
      </c>
      <c r="C8" s="1" t="s">
        <v>27</v>
      </c>
      <c r="D8" s="1" t="s">
        <v>28</v>
      </c>
      <c r="E8" s="4">
        <v>16</v>
      </c>
      <c r="F8" s="4">
        <v>40</v>
      </c>
      <c r="G8" s="4">
        <v>0.4</v>
      </c>
    </row>
    <row r="9" spans="1:7" x14ac:dyDescent="0.4">
      <c r="A9" s="1" t="s">
        <v>29</v>
      </c>
      <c r="B9" s="1" t="s">
        <v>8</v>
      </c>
      <c r="C9" s="1" t="s">
        <v>30</v>
      </c>
      <c r="D9" s="1" t="s">
        <v>31</v>
      </c>
      <c r="E9" s="4">
        <v>38</v>
      </c>
      <c r="F9" s="4">
        <v>40</v>
      </c>
      <c r="G9" s="4">
        <v>0.95</v>
      </c>
    </row>
    <row r="10" spans="1:7" x14ac:dyDescent="0.4">
      <c r="A10" s="1" t="s">
        <v>32</v>
      </c>
      <c r="B10" s="1" t="s">
        <v>33</v>
      </c>
      <c r="C10" s="1" t="s">
        <v>34</v>
      </c>
      <c r="D10" s="1" t="s">
        <v>35</v>
      </c>
      <c r="E10" s="4">
        <v>40</v>
      </c>
      <c r="F10" s="4">
        <v>40</v>
      </c>
      <c r="G10" s="4">
        <v>1</v>
      </c>
    </row>
    <row r="11" spans="1:7" x14ac:dyDescent="0.4">
      <c r="A11" s="1" t="s">
        <v>36</v>
      </c>
      <c r="B11" s="1" t="s">
        <v>33</v>
      </c>
      <c r="C11" s="1" t="s">
        <v>37</v>
      </c>
      <c r="D11" s="1" t="s">
        <v>38</v>
      </c>
      <c r="E11" s="4">
        <v>14</v>
      </c>
      <c r="F11" s="4">
        <v>40</v>
      </c>
      <c r="G11" s="4">
        <v>0.35</v>
      </c>
    </row>
    <row r="12" spans="1:7" x14ac:dyDescent="0.4">
      <c r="A12" s="1" t="s">
        <v>39</v>
      </c>
      <c r="B12" s="1" t="s">
        <v>33</v>
      </c>
      <c r="C12" s="1" t="s">
        <v>40</v>
      </c>
      <c r="D12" s="1" t="s">
        <v>41</v>
      </c>
      <c r="E12" s="4">
        <v>6</v>
      </c>
      <c r="F12" s="4">
        <v>40</v>
      </c>
      <c r="G12" s="4">
        <v>0.15</v>
      </c>
    </row>
    <row r="13" spans="1:7" x14ac:dyDescent="0.4">
      <c r="A13" s="1" t="s">
        <v>42</v>
      </c>
      <c r="B13" s="1" t="s">
        <v>33</v>
      </c>
      <c r="C13" s="1" t="s">
        <v>43</v>
      </c>
      <c r="D13" s="1" t="s">
        <v>44</v>
      </c>
      <c r="E13" s="4">
        <v>2</v>
      </c>
      <c r="F13" s="4">
        <v>40</v>
      </c>
      <c r="G13" s="4">
        <v>0.05</v>
      </c>
    </row>
    <row r="14" spans="1:7" x14ac:dyDescent="0.4">
      <c r="A14" s="1" t="s">
        <v>45</v>
      </c>
      <c r="B14" s="1" t="s">
        <v>46</v>
      </c>
      <c r="C14" s="1" t="s">
        <v>47</v>
      </c>
      <c r="D14" s="1" t="s">
        <v>48</v>
      </c>
      <c r="E14" s="4">
        <v>6</v>
      </c>
      <c r="F14" s="4">
        <v>40</v>
      </c>
      <c r="G14" s="4">
        <v>0.15</v>
      </c>
    </row>
    <row r="15" spans="1:7" x14ac:dyDescent="0.4">
      <c r="A15" s="1" t="s">
        <v>49</v>
      </c>
      <c r="B15" s="1" t="s">
        <v>46</v>
      </c>
      <c r="C15" s="1" t="s">
        <v>50</v>
      </c>
      <c r="D15" s="1" t="s">
        <v>51</v>
      </c>
      <c r="E15" s="4">
        <v>2</v>
      </c>
      <c r="F15" s="4">
        <v>40</v>
      </c>
      <c r="G15" s="4">
        <v>0.05</v>
      </c>
    </row>
    <row r="16" spans="1:7" x14ac:dyDescent="0.4">
      <c r="A16" s="1" t="s">
        <v>52</v>
      </c>
      <c r="B16" s="1" t="s">
        <v>46</v>
      </c>
      <c r="C16" s="1" t="s">
        <v>53</v>
      </c>
      <c r="D16" s="1" t="s">
        <v>54</v>
      </c>
      <c r="E16" s="4">
        <v>8</v>
      </c>
      <c r="F16" s="4">
        <v>40</v>
      </c>
      <c r="G16" s="4">
        <v>0.2</v>
      </c>
    </row>
    <row r="17" spans="1:7" x14ac:dyDescent="0.4">
      <c r="A17" s="1" t="s">
        <v>55</v>
      </c>
      <c r="B17" s="1" t="s">
        <v>46</v>
      </c>
      <c r="C17" s="1" t="s">
        <v>56</v>
      </c>
      <c r="D17" s="1" t="s">
        <v>57</v>
      </c>
      <c r="E17" s="4">
        <v>10</v>
      </c>
      <c r="F17" s="4">
        <v>40</v>
      </c>
      <c r="G17" s="4">
        <v>0.25</v>
      </c>
    </row>
    <row r="18" spans="1:7" x14ac:dyDescent="0.4">
      <c r="A18" s="1" t="s">
        <v>58</v>
      </c>
      <c r="B18" s="1" t="s">
        <v>46</v>
      </c>
      <c r="C18" s="1" t="s">
        <v>59</v>
      </c>
      <c r="D18" s="1" t="s">
        <v>60</v>
      </c>
      <c r="E18" s="4">
        <v>23</v>
      </c>
      <c r="F18" s="4">
        <v>40</v>
      </c>
      <c r="G18" s="4">
        <v>0.57499999999999996</v>
      </c>
    </row>
    <row r="19" spans="1:7" x14ac:dyDescent="0.4">
      <c r="A19" s="1" t="s">
        <v>61</v>
      </c>
      <c r="B19" s="1" t="s">
        <v>46</v>
      </c>
      <c r="C19" s="1" t="s">
        <v>62</v>
      </c>
      <c r="D19" s="1" t="s">
        <v>63</v>
      </c>
      <c r="E19" s="4">
        <v>2</v>
      </c>
      <c r="F19" s="4">
        <v>40</v>
      </c>
      <c r="G19" s="4">
        <v>0.05</v>
      </c>
    </row>
    <row r="20" spans="1:7" x14ac:dyDescent="0.4">
      <c r="A20" s="1" t="s">
        <v>64</v>
      </c>
      <c r="B20" s="1" t="s">
        <v>46</v>
      </c>
      <c r="C20" s="1" t="s">
        <v>65</v>
      </c>
      <c r="D20" s="1" t="s">
        <v>66</v>
      </c>
      <c r="E20" s="4">
        <v>2</v>
      </c>
      <c r="F20" s="4">
        <v>40</v>
      </c>
      <c r="G20" s="4">
        <v>0.05</v>
      </c>
    </row>
    <row r="21" spans="1:7" x14ac:dyDescent="0.4">
      <c r="A21" s="1" t="s">
        <v>67</v>
      </c>
      <c r="B21" s="1" t="s">
        <v>46</v>
      </c>
      <c r="C21" s="1" t="s">
        <v>68</v>
      </c>
      <c r="D21" s="1" t="s">
        <v>69</v>
      </c>
      <c r="E21" s="4">
        <v>8</v>
      </c>
      <c r="F21" s="4">
        <v>40</v>
      </c>
      <c r="G21" s="4">
        <v>0.2</v>
      </c>
    </row>
    <row r="22" spans="1:7" x14ac:dyDescent="0.4">
      <c r="A22" s="1" t="s">
        <v>70</v>
      </c>
      <c r="B22" s="1" t="s">
        <v>46</v>
      </c>
      <c r="C22" s="1" t="s">
        <v>71</v>
      </c>
      <c r="D22" s="1" t="s">
        <v>72</v>
      </c>
      <c r="E22" s="4">
        <v>3</v>
      </c>
      <c r="F22" s="4">
        <v>40</v>
      </c>
      <c r="G22" s="4">
        <v>7.4999999999999997E-2</v>
      </c>
    </row>
    <row r="23" spans="1:7" x14ac:dyDescent="0.4">
      <c r="A23" s="1" t="s">
        <v>73</v>
      </c>
      <c r="B23" s="1" t="s">
        <v>46</v>
      </c>
      <c r="C23" s="1" t="s">
        <v>74</v>
      </c>
      <c r="D23" s="1" t="s">
        <v>75</v>
      </c>
      <c r="E23" s="4">
        <v>3.5</v>
      </c>
      <c r="F23" s="4">
        <v>40</v>
      </c>
      <c r="G23" s="4">
        <v>8.7499999999999994E-2</v>
      </c>
    </row>
    <row r="24" spans="1:7" x14ac:dyDescent="0.4">
      <c r="A24" s="1" t="s">
        <v>76</v>
      </c>
      <c r="B24" s="1" t="s">
        <v>46</v>
      </c>
      <c r="C24" s="1" t="s">
        <v>77</v>
      </c>
      <c r="D24" s="1" t="s">
        <v>78</v>
      </c>
      <c r="E24" s="4">
        <v>3</v>
      </c>
      <c r="F24" s="4">
        <v>40</v>
      </c>
      <c r="G24" s="4">
        <v>7.4999999999999997E-2</v>
      </c>
    </row>
    <row r="25" spans="1:7" x14ac:dyDescent="0.4">
      <c r="A25" s="1" t="s">
        <v>79</v>
      </c>
      <c r="B25" s="1" t="s">
        <v>46</v>
      </c>
      <c r="C25" s="1" t="s">
        <v>80</v>
      </c>
      <c r="D25" s="1" t="s">
        <v>81</v>
      </c>
      <c r="E25" s="4">
        <v>6</v>
      </c>
      <c r="F25" s="4">
        <v>40</v>
      </c>
      <c r="G25" s="4">
        <v>0.15</v>
      </c>
    </row>
    <row r="26" spans="1:7" x14ac:dyDescent="0.4">
      <c r="A26" s="1" t="s">
        <v>82</v>
      </c>
      <c r="B26" s="1" t="s">
        <v>46</v>
      </c>
      <c r="C26" s="1" t="s">
        <v>83</v>
      </c>
      <c r="D26" s="1" t="s">
        <v>84</v>
      </c>
      <c r="E26" s="4">
        <v>5</v>
      </c>
      <c r="F26" s="4">
        <v>40</v>
      </c>
      <c r="G26" s="4">
        <v>0.125</v>
      </c>
    </row>
    <row r="27" spans="1:7" x14ac:dyDescent="0.4">
      <c r="A27" s="1" t="s">
        <v>85</v>
      </c>
      <c r="B27" s="1" t="s">
        <v>46</v>
      </c>
      <c r="C27" s="1" t="s">
        <v>86</v>
      </c>
      <c r="D27" s="1" t="s">
        <v>87</v>
      </c>
      <c r="E27" s="4">
        <v>16</v>
      </c>
      <c r="F27" s="4">
        <v>40</v>
      </c>
      <c r="G27" s="4">
        <v>0.4</v>
      </c>
    </row>
    <row r="28" spans="1:7" x14ac:dyDescent="0.4">
      <c r="A28" s="1" t="s">
        <v>88</v>
      </c>
      <c r="B28" s="1" t="s">
        <v>46</v>
      </c>
      <c r="C28" s="1" t="s">
        <v>89</v>
      </c>
      <c r="D28" s="1" t="s">
        <v>90</v>
      </c>
      <c r="E28" s="4">
        <v>40</v>
      </c>
      <c r="F28" s="4">
        <v>40</v>
      </c>
      <c r="G28" s="4">
        <v>1</v>
      </c>
    </row>
    <row r="29" spans="1:7" x14ac:dyDescent="0.4">
      <c r="A29" s="1" t="s">
        <v>91</v>
      </c>
      <c r="B29" s="1" t="s">
        <v>46</v>
      </c>
      <c r="C29" s="1" t="s">
        <v>92</v>
      </c>
      <c r="D29" s="1" t="s">
        <v>93</v>
      </c>
      <c r="E29" s="4">
        <v>40</v>
      </c>
      <c r="F29" s="4">
        <v>40</v>
      </c>
      <c r="G29" s="4">
        <v>1</v>
      </c>
    </row>
    <row r="30" spans="1:7" x14ac:dyDescent="0.4">
      <c r="A30" s="1" t="s">
        <v>94</v>
      </c>
      <c r="B30" s="1" t="s">
        <v>46</v>
      </c>
      <c r="C30" s="1" t="s">
        <v>95</v>
      </c>
      <c r="D30" s="1" t="s">
        <v>96</v>
      </c>
      <c r="E30" s="4">
        <v>2</v>
      </c>
      <c r="F30" s="4">
        <v>40</v>
      </c>
      <c r="G30" s="4">
        <v>0.05</v>
      </c>
    </row>
    <row r="31" spans="1:7" x14ac:dyDescent="0.4">
      <c r="A31" s="1" t="s">
        <v>97</v>
      </c>
      <c r="B31" s="1" t="s">
        <v>46</v>
      </c>
      <c r="C31" s="1" t="s">
        <v>98</v>
      </c>
      <c r="D31" s="1" t="s">
        <v>99</v>
      </c>
      <c r="E31" s="4">
        <v>1</v>
      </c>
      <c r="F31" s="4">
        <v>40</v>
      </c>
      <c r="G31" s="4">
        <v>2.5000000000000001E-2</v>
      </c>
    </row>
    <row r="32" spans="1:7" x14ac:dyDescent="0.4">
      <c r="A32" s="1" t="s">
        <v>100</v>
      </c>
      <c r="B32" s="1" t="s">
        <v>46</v>
      </c>
      <c r="C32" s="1" t="s">
        <v>101</v>
      </c>
      <c r="D32" s="1" t="s">
        <v>102</v>
      </c>
      <c r="E32" s="4">
        <v>2</v>
      </c>
      <c r="F32" s="4">
        <v>40</v>
      </c>
      <c r="G32" s="4">
        <v>0.05</v>
      </c>
    </row>
    <row r="33" spans="1:7" x14ac:dyDescent="0.4">
      <c r="A33" s="1" t="s">
        <v>103</v>
      </c>
      <c r="B33" s="1" t="s">
        <v>104</v>
      </c>
      <c r="C33" s="1" t="s">
        <v>105</v>
      </c>
      <c r="D33" s="1" t="s">
        <v>106</v>
      </c>
      <c r="E33" s="4">
        <v>34.5</v>
      </c>
      <c r="F33" s="4">
        <v>40</v>
      </c>
      <c r="G33" s="4">
        <v>0.86250000000000004</v>
      </c>
    </row>
    <row r="34" spans="1:7" x14ac:dyDescent="0.4">
      <c r="A34" s="1" t="s">
        <v>107</v>
      </c>
      <c r="B34" s="1" t="s">
        <v>104</v>
      </c>
      <c r="C34" s="1" t="s">
        <v>108</v>
      </c>
      <c r="D34" s="1" t="s">
        <v>10</v>
      </c>
      <c r="E34" s="4">
        <v>50</v>
      </c>
      <c r="F34" s="4">
        <v>40</v>
      </c>
      <c r="G34" s="4">
        <v>1.25</v>
      </c>
    </row>
    <row r="35" spans="1:7" x14ac:dyDescent="0.4">
      <c r="A35" s="1" t="s">
        <v>109</v>
      </c>
      <c r="B35" s="1" t="s">
        <v>104</v>
      </c>
      <c r="C35" s="1" t="s">
        <v>110</v>
      </c>
      <c r="D35" s="1" t="s">
        <v>13</v>
      </c>
      <c r="E35" s="4">
        <v>40</v>
      </c>
      <c r="F35" s="4">
        <v>40</v>
      </c>
      <c r="G35" s="4">
        <v>1</v>
      </c>
    </row>
    <row r="36" spans="1:7" x14ac:dyDescent="0.4">
      <c r="A36" s="1" t="s">
        <v>111</v>
      </c>
      <c r="B36" s="1" t="s">
        <v>112</v>
      </c>
      <c r="C36" s="1" t="s">
        <v>113</v>
      </c>
      <c r="D36" s="1" t="s">
        <v>16</v>
      </c>
      <c r="E36" s="4">
        <v>26</v>
      </c>
      <c r="F36" s="4">
        <v>40</v>
      </c>
      <c r="G36" s="4">
        <v>0.65</v>
      </c>
    </row>
    <row r="37" spans="1:7" x14ac:dyDescent="0.4">
      <c r="A37" s="1" t="s">
        <v>114</v>
      </c>
      <c r="B37" s="1" t="s">
        <v>112</v>
      </c>
      <c r="C37" s="1" t="s">
        <v>115</v>
      </c>
      <c r="D37" s="1" t="s">
        <v>19</v>
      </c>
      <c r="E37" s="4">
        <v>4</v>
      </c>
      <c r="F37" s="4">
        <v>40</v>
      </c>
      <c r="G37" s="4">
        <v>0.1</v>
      </c>
    </row>
    <row r="38" spans="1:7" x14ac:dyDescent="0.4">
      <c r="A38" s="1" t="s">
        <v>116</v>
      </c>
      <c r="B38" s="1" t="s">
        <v>112</v>
      </c>
      <c r="C38" s="1" t="s">
        <v>117</v>
      </c>
      <c r="D38" s="1" t="s">
        <v>22</v>
      </c>
      <c r="E38" s="4">
        <v>40</v>
      </c>
      <c r="F38" s="4">
        <v>40</v>
      </c>
      <c r="G38" s="4">
        <v>1</v>
      </c>
    </row>
    <row r="39" spans="1:7" x14ac:dyDescent="0.4">
      <c r="A39" s="1" t="s">
        <v>118</v>
      </c>
      <c r="B39" s="1" t="s">
        <v>119</v>
      </c>
      <c r="C39" s="1" t="s">
        <v>120</v>
      </c>
      <c r="D39" s="1" t="s">
        <v>25</v>
      </c>
      <c r="E39" s="4">
        <v>12</v>
      </c>
      <c r="F39" s="4">
        <v>40</v>
      </c>
      <c r="G39" s="4">
        <v>0.3</v>
      </c>
    </row>
    <row r="40" spans="1:7" x14ac:dyDescent="0.4">
      <c r="A40" s="1" t="s">
        <v>121</v>
      </c>
      <c r="B40" s="1" t="s">
        <v>119</v>
      </c>
      <c r="C40" s="1" t="s">
        <v>122</v>
      </c>
      <c r="D40" s="1" t="s">
        <v>28</v>
      </c>
      <c r="E40" s="4">
        <v>40</v>
      </c>
      <c r="F40" s="4">
        <v>40</v>
      </c>
      <c r="G40" s="4">
        <v>1</v>
      </c>
    </row>
    <row r="41" spans="1:7" x14ac:dyDescent="0.4">
      <c r="A41" s="1" t="s">
        <v>123</v>
      </c>
      <c r="B41" s="1" t="s">
        <v>119</v>
      </c>
      <c r="C41" s="1" t="s">
        <v>124</v>
      </c>
      <c r="D41" s="1" t="s">
        <v>31</v>
      </c>
      <c r="E41" s="4">
        <v>28</v>
      </c>
      <c r="F41" s="4">
        <v>40</v>
      </c>
      <c r="G41" s="4">
        <v>0.7</v>
      </c>
    </row>
    <row r="42" spans="1:7" x14ac:dyDescent="0.4">
      <c r="A42" s="1" t="s">
        <v>125</v>
      </c>
      <c r="B42" s="1" t="s">
        <v>119</v>
      </c>
      <c r="C42" s="1" t="s">
        <v>126</v>
      </c>
      <c r="D42" s="1" t="s">
        <v>35</v>
      </c>
      <c r="E42" s="4">
        <v>39</v>
      </c>
      <c r="F42" s="4">
        <v>40</v>
      </c>
      <c r="G42" s="4">
        <v>0.97499999999999998</v>
      </c>
    </row>
    <row r="43" spans="1:7" x14ac:dyDescent="0.4">
      <c r="A43" s="1" t="s">
        <v>127</v>
      </c>
      <c r="B43" s="1" t="s">
        <v>119</v>
      </c>
      <c r="C43" s="1" t="s">
        <v>128</v>
      </c>
      <c r="D43" s="1" t="s">
        <v>38</v>
      </c>
      <c r="E43" s="4">
        <v>24</v>
      </c>
      <c r="F43" s="4">
        <v>40</v>
      </c>
      <c r="G43" s="4">
        <v>0.6</v>
      </c>
    </row>
    <row r="44" spans="1:7" x14ac:dyDescent="0.4">
      <c r="A44" s="1" t="s">
        <v>129</v>
      </c>
      <c r="B44" s="1" t="s">
        <v>130</v>
      </c>
      <c r="C44" s="1" t="s">
        <v>131</v>
      </c>
      <c r="D44" s="1" t="s">
        <v>41</v>
      </c>
      <c r="E44" s="4">
        <v>32</v>
      </c>
      <c r="F44" s="4">
        <v>40</v>
      </c>
      <c r="G44" s="4">
        <v>0.8</v>
      </c>
    </row>
    <row r="45" spans="1:7" x14ac:dyDescent="0.4">
      <c r="A45" s="1" t="s">
        <v>132</v>
      </c>
      <c r="B45" s="1" t="s">
        <v>130</v>
      </c>
      <c r="C45" s="1" t="s">
        <v>133</v>
      </c>
      <c r="D45" s="1" t="s">
        <v>44</v>
      </c>
      <c r="E45" s="4">
        <v>8</v>
      </c>
      <c r="F45" s="4">
        <v>40</v>
      </c>
      <c r="G45" s="4">
        <v>0.2</v>
      </c>
    </row>
    <row r="46" spans="1:7" x14ac:dyDescent="0.4">
      <c r="A46" s="1" t="s">
        <v>134</v>
      </c>
      <c r="B46" s="1" t="s">
        <v>130</v>
      </c>
      <c r="C46" s="1" t="s">
        <v>135</v>
      </c>
      <c r="D46" s="1" t="s">
        <v>48</v>
      </c>
      <c r="E46" s="4">
        <v>4</v>
      </c>
      <c r="F46" s="4">
        <v>40</v>
      </c>
      <c r="G46" s="4">
        <v>0.1</v>
      </c>
    </row>
    <row r="47" spans="1:7" x14ac:dyDescent="0.4">
      <c r="A47" s="1" t="s">
        <v>136</v>
      </c>
      <c r="B47" s="1" t="s">
        <v>130</v>
      </c>
      <c r="C47" s="1" t="s">
        <v>137</v>
      </c>
      <c r="D47" s="1" t="s">
        <v>51</v>
      </c>
      <c r="E47" s="4">
        <v>2</v>
      </c>
      <c r="F47" s="4">
        <v>40</v>
      </c>
      <c r="G47" s="4">
        <v>0.05</v>
      </c>
    </row>
    <row r="48" spans="1:7" x14ac:dyDescent="0.4">
      <c r="A48" s="1" t="s">
        <v>138</v>
      </c>
      <c r="B48" s="1" t="s">
        <v>130</v>
      </c>
      <c r="C48" s="1" t="s">
        <v>139</v>
      </c>
      <c r="D48" s="1" t="s">
        <v>54</v>
      </c>
      <c r="E48" s="4">
        <v>40</v>
      </c>
      <c r="F48" s="4">
        <v>40</v>
      </c>
      <c r="G48" s="4">
        <v>1</v>
      </c>
    </row>
    <row r="49" spans="1:7" x14ac:dyDescent="0.4">
      <c r="A49" s="1" t="s">
        <v>140</v>
      </c>
      <c r="B49" s="1" t="s">
        <v>141</v>
      </c>
      <c r="C49" s="1" t="s">
        <v>142</v>
      </c>
      <c r="D49" s="1" t="s">
        <v>57</v>
      </c>
      <c r="E49" s="4">
        <v>40</v>
      </c>
      <c r="F49" s="4">
        <v>40</v>
      </c>
      <c r="G49" s="4">
        <v>1</v>
      </c>
    </row>
    <row r="50" spans="1:7" x14ac:dyDescent="0.4">
      <c r="A50" s="1" t="s">
        <v>143</v>
      </c>
      <c r="B50" s="1" t="s">
        <v>141</v>
      </c>
      <c r="C50" s="1" t="s">
        <v>144</v>
      </c>
      <c r="D50" s="1" t="s">
        <v>60</v>
      </c>
      <c r="E50" s="4">
        <v>4</v>
      </c>
      <c r="F50" s="4">
        <v>40</v>
      </c>
      <c r="G50" s="4">
        <v>0.1</v>
      </c>
    </row>
    <row r="51" spans="1:7" x14ac:dyDescent="0.4">
      <c r="A51" s="1" t="s">
        <v>145</v>
      </c>
      <c r="B51" s="1" t="s">
        <v>141</v>
      </c>
      <c r="C51" s="1" t="s">
        <v>146</v>
      </c>
      <c r="D51" s="1" t="s">
        <v>63</v>
      </c>
      <c r="E51" s="4">
        <v>4</v>
      </c>
      <c r="F51" s="4">
        <v>40</v>
      </c>
      <c r="G51" s="4">
        <v>0.1</v>
      </c>
    </row>
    <row r="52" spans="1:7" x14ac:dyDescent="0.4">
      <c r="A52" s="1" t="s">
        <v>147</v>
      </c>
      <c r="B52" s="1" t="s">
        <v>141</v>
      </c>
      <c r="C52" s="1" t="s">
        <v>148</v>
      </c>
      <c r="D52" s="1" t="s">
        <v>66</v>
      </c>
      <c r="E52" s="4">
        <v>2</v>
      </c>
      <c r="F52" s="4">
        <v>40</v>
      </c>
      <c r="G52" s="4">
        <v>0.05</v>
      </c>
    </row>
    <row r="53" spans="1:7" x14ac:dyDescent="0.4">
      <c r="A53" s="1" t="s">
        <v>149</v>
      </c>
      <c r="B53" s="1" t="s">
        <v>150</v>
      </c>
      <c r="C53" s="1" t="s">
        <v>151</v>
      </c>
      <c r="D53" s="1" t="s">
        <v>69</v>
      </c>
      <c r="E53" s="4">
        <v>2</v>
      </c>
      <c r="F53" s="4">
        <v>40</v>
      </c>
      <c r="G53" s="4">
        <v>0.05</v>
      </c>
    </row>
    <row r="54" spans="1:7" x14ac:dyDescent="0.4">
      <c r="A54" s="1" t="s">
        <v>152</v>
      </c>
      <c r="B54" s="1" t="s">
        <v>150</v>
      </c>
      <c r="C54" s="1" t="s">
        <v>153</v>
      </c>
      <c r="D54" s="1" t="s">
        <v>72</v>
      </c>
      <c r="E54" s="4">
        <v>4</v>
      </c>
      <c r="F54" s="4">
        <v>40</v>
      </c>
      <c r="G54" s="4">
        <v>0.1</v>
      </c>
    </row>
    <row r="55" spans="1:7" x14ac:dyDescent="0.4">
      <c r="A55" s="1" t="s">
        <v>154</v>
      </c>
      <c r="B55" s="1" t="s">
        <v>150</v>
      </c>
      <c r="C55" s="1" t="s">
        <v>155</v>
      </c>
      <c r="D55" s="1" t="s">
        <v>75</v>
      </c>
      <c r="E55" s="4">
        <v>35</v>
      </c>
      <c r="F55" s="4">
        <v>40</v>
      </c>
      <c r="G55" s="4">
        <v>0.875</v>
      </c>
    </row>
    <row r="56" spans="1:7" x14ac:dyDescent="0.4">
      <c r="A56" s="1" t="s">
        <v>156</v>
      </c>
      <c r="B56" s="1" t="s">
        <v>157</v>
      </c>
      <c r="C56" s="1" t="s">
        <v>158</v>
      </c>
      <c r="D56" s="1" t="s">
        <v>78</v>
      </c>
      <c r="E56" s="4">
        <v>6</v>
      </c>
      <c r="F56" s="4">
        <v>40</v>
      </c>
      <c r="G56" s="4">
        <v>0.15</v>
      </c>
    </row>
    <row r="57" spans="1:7" x14ac:dyDescent="0.4">
      <c r="A57" s="1" t="s">
        <v>159</v>
      </c>
      <c r="B57" s="1" t="s">
        <v>157</v>
      </c>
      <c r="C57" s="1" t="s">
        <v>160</v>
      </c>
      <c r="D57" s="1" t="s">
        <v>81</v>
      </c>
      <c r="E57" s="4">
        <v>11</v>
      </c>
      <c r="F57" s="4">
        <v>40</v>
      </c>
      <c r="G57" s="4">
        <v>0.27500000000000002</v>
      </c>
    </row>
    <row r="58" spans="1:7" x14ac:dyDescent="0.4">
      <c r="A58" s="1" t="s">
        <v>161</v>
      </c>
      <c r="B58" s="1" t="s">
        <v>157</v>
      </c>
      <c r="C58" s="1" t="s">
        <v>162</v>
      </c>
      <c r="D58" s="1" t="s">
        <v>84</v>
      </c>
      <c r="E58" s="4">
        <v>2</v>
      </c>
      <c r="F58" s="4">
        <v>40</v>
      </c>
      <c r="G58" s="4">
        <v>0.05</v>
      </c>
    </row>
    <row r="59" spans="1:7" x14ac:dyDescent="0.4">
      <c r="A59" s="1" t="s">
        <v>163</v>
      </c>
      <c r="B59" s="1" t="s">
        <v>157</v>
      </c>
      <c r="C59" s="1" t="s">
        <v>164</v>
      </c>
      <c r="D59" s="1" t="s">
        <v>87</v>
      </c>
      <c r="E59" s="4">
        <v>4</v>
      </c>
      <c r="F59" s="4">
        <v>40</v>
      </c>
      <c r="G59" s="4">
        <v>0.1</v>
      </c>
    </row>
    <row r="60" spans="1:7" x14ac:dyDescent="0.4">
      <c r="A60" s="1" t="s">
        <v>165</v>
      </c>
      <c r="B60" s="1" t="s">
        <v>157</v>
      </c>
      <c r="C60" s="1" t="s">
        <v>166</v>
      </c>
      <c r="D60" s="1" t="s">
        <v>90</v>
      </c>
      <c r="E60" s="4">
        <v>4</v>
      </c>
      <c r="F60" s="4">
        <v>40</v>
      </c>
      <c r="G60" s="4">
        <v>0.1</v>
      </c>
    </row>
    <row r="61" spans="1:7" x14ac:dyDescent="0.4">
      <c r="A61" s="1" t="s">
        <v>167</v>
      </c>
      <c r="B61" s="1" t="s">
        <v>157</v>
      </c>
      <c r="C61" s="1" t="s">
        <v>168</v>
      </c>
      <c r="D61" s="1" t="s">
        <v>93</v>
      </c>
      <c r="E61" s="4">
        <v>10</v>
      </c>
      <c r="F61" s="4">
        <v>40</v>
      </c>
      <c r="G61" s="4">
        <v>0.25</v>
      </c>
    </row>
    <row r="62" spans="1:7" x14ac:dyDescent="0.4">
      <c r="A62" s="1" t="s">
        <v>169</v>
      </c>
      <c r="B62" s="1" t="s">
        <v>157</v>
      </c>
      <c r="C62" s="1" t="s">
        <v>170</v>
      </c>
      <c r="D62" s="1" t="s">
        <v>96</v>
      </c>
      <c r="E62" s="4">
        <v>3</v>
      </c>
      <c r="F62" s="4">
        <v>40</v>
      </c>
      <c r="G62" s="4">
        <v>7.4999999999999997E-2</v>
      </c>
    </row>
    <row r="63" spans="1:7" x14ac:dyDescent="0.4">
      <c r="A63" s="1" t="s">
        <v>171</v>
      </c>
      <c r="B63" s="1" t="s">
        <v>172</v>
      </c>
      <c r="C63" s="1" t="s">
        <v>173</v>
      </c>
      <c r="D63" s="1" t="s">
        <v>99</v>
      </c>
      <c r="E63" s="4">
        <v>3</v>
      </c>
      <c r="F63" s="4">
        <v>40</v>
      </c>
      <c r="G63" s="4">
        <v>7.4999999999999997E-2</v>
      </c>
    </row>
    <row r="64" spans="1:7" x14ac:dyDescent="0.4">
      <c r="A64" s="1" t="s">
        <v>174</v>
      </c>
      <c r="B64" s="1" t="s">
        <v>172</v>
      </c>
      <c r="C64" s="1" t="s">
        <v>175</v>
      </c>
      <c r="D64" s="1" t="s">
        <v>102</v>
      </c>
      <c r="E64" s="4">
        <v>38</v>
      </c>
      <c r="F64" s="4">
        <v>40</v>
      </c>
      <c r="G64" s="4">
        <v>0.95</v>
      </c>
    </row>
    <row r="65" spans="1:7" x14ac:dyDescent="0.4">
      <c r="A65" s="1" t="s">
        <v>176</v>
      </c>
      <c r="B65" s="1" t="s">
        <v>172</v>
      </c>
      <c r="C65" s="1" t="s">
        <v>177</v>
      </c>
      <c r="D65" s="1" t="s">
        <v>106</v>
      </c>
      <c r="E65" s="4">
        <v>40</v>
      </c>
      <c r="F65" s="4">
        <v>40</v>
      </c>
      <c r="G65" s="4">
        <v>1</v>
      </c>
    </row>
    <row r="66" spans="1:7" x14ac:dyDescent="0.4">
      <c r="A66" s="1" t="s">
        <v>178</v>
      </c>
      <c r="B66" s="1" t="s">
        <v>179</v>
      </c>
      <c r="C66" s="1" t="s">
        <v>180</v>
      </c>
      <c r="D66" s="1" t="s">
        <v>10</v>
      </c>
      <c r="E66" s="4">
        <v>16</v>
      </c>
      <c r="F66" s="4">
        <v>40</v>
      </c>
      <c r="G66" s="4">
        <v>0.4</v>
      </c>
    </row>
    <row r="67" spans="1:7" x14ac:dyDescent="0.4">
      <c r="A67" s="1" t="s">
        <v>181</v>
      </c>
      <c r="B67" s="1" t="s">
        <v>179</v>
      </c>
      <c r="C67" s="1" t="s">
        <v>182</v>
      </c>
      <c r="D67" s="1" t="s">
        <v>13</v>
      </c>
      <c r="E67" s="4">
        <v>24</v>
      </c>
      <c r="F67" s="4">
        <v>40</v>
      </c>
      <c r="G67" s="4">
        <v>0.6</v>
      </c>
    </row>
    <row r="68" spans="1:7" x14ac:dyDescent="0.4">
      <c r="A68" s="1" t="s">
        <v>183</v>
      </c>
      <c r="B68" s="1" t="s">
        <v>179</v>
      </c>
      <c r="C68" s="1" t="s">
        <v>184</v>
      </c>
      <c r="D68" s="1" t="s">
        <v>16</v>
      </c>
      <c r="E68" s="4">
        <v>16</v>
      </c>
      <c r="F68" s="4">
        <v>40</v>
      </c>
      <c r="G68" s="4">
        <v>0.4</v>
      </c>
    </row>
    <row r="69" spans="1:7" x14ac:dyDescent="0.4">
      <c r="A69" s="1" t="s">
        <v>185</v>
      </c>
      <c r="B69" s="1" t="s">
        <v>179</v>
      </c>
      <c r="C69" s="1" t="s">
        <v>186</v>
      </c>
      <c r="D69" s="1" t="s">
        <v>19</v>
      </c>
      <c r="E69" s="4">
        <v>40</v>
      </c>
      <c r="F69" s="4">
        <v>40</v>
      </c>
      <c r="G69" s="4">
        <v>1</v>
      </c>
    </row>
    <row r="70" spans="1:7" x14ac:dyDescent="0.4">
      <c r="A70" s="1" t="s">
        <v>187</v>
      </c>
      <c r="B70" s="1" t="s">
        <v>188</v>
      </c>
      <c r="C70" s="1" t="s">
        <v>189</v>
      </c>
      <c r="D70" s="1" t="s">
        <v>22</v>
      </c>
      <c r="E70" s="4">
        <v>40</v>
      </c>
      <c r="F70" s="4">
        <v>40</v>
      </c>
      <c r="G70" s="4">
        <v>1</v>
      </c>
    </row>
    <row r="71" spans="1:7" x14ac:dyDescent="0.4">
      <c r="A71" s="1" t="s">
        <v>190</v>
      </c>
      <c r="B71" s="1" t="s">
        <v>188</v>
      </c>
      <c r="C71" s="1" t="s">
        <v>191</v>
      </c>
      <c r="D71" s="1" t="s">
        <v>25</v>
      </c>
      <c r="E71" s="4">
        <v>40</v>
      </c>
      <c r="F71" s="4">
        <v>40</v>
      </c>
      <c r="G71" s="4">
        <v>1</v>
      </c>
    </row>
    <row r="72" spans="1:7" x14ac:dyDescent="0.4">
      <c r="A72" s="1" t="s">
        <v>192</v>
      </c>
      <c r="B72" s="1" t="s">
        <v>188</v>
      </c>
      <c r="C72" s="1" t="s">
        <v>193</v>
      </c>
      <c r="D72" s="1" t="s">
        <v>28</v>
      </c>
      <c r="E72" s="4">
        <v>40</v>
      </c>
      <c r="F72" s="4">
        <v>40</v>
      </c>
      <c r="G72" s="4">
        <v>1</v>
      </c>
    </row>
    <row r="73" spans="1:7" x14ac:dyDescent="0.4">
      <c r="A73" s="1" t="s">
        <v>194</v>
      </c>
      <c r="B73" s="1" t="s">
        <v>188</v>
      </c>
      <c r="C73" s="1" t="s">
        <v>195</v>
      </c>
      <c r="D73" s="1" t="s">
        <v>31</v>
      </c>
      <c r="E73" s="4">
        <v>40</v>
      </c>
      <c r="F73" s="4">
        <v>40</v>
      </c>
      <c r="G73" s="4">
        <v>1</v>
      </c>
    </row>
    <row r="74" spans="1:7" x14ac:dyDescent="0.4">
      <c r="A74" s="1" t="s">
        <v>196</v>
      </c>
      <c r="B74" s="1" t="s">
        <v>188</v>
      </c>
      <c r="C74" s="1" t="s">
        <v>197</v>
      </c>
      <c r="D74" s="1" t="s">
        <v>35</v>
      </c>
      <c r="E74" s="4">
        <v>40</v>
      </c>
      <c r="F74" s="4">
        <v>40</v>
      </c>
      <c r="G74" s="4">
        <v>1</v>
      </c>
    </row>
    <row r="75" spans="1:7" x14ac:dyDescent="0.4">
      <c r="A75" s="1" t="s">
        <v>198</v>
      </c>
      <c r="B75" s="1" t="s">
        <v>188</v>
      </c>
      <c r="C75" s="1" t="s">
        <v>199</v>
      </c>
      <c r="D75" s="1" t="s">
        <v>38</v>
      </c>
      <c r="E75" s="4">
        <v>3</v>
      </c>
      <c r="F75" s="4">
        <v>40</v>
      </c>
      <c r="G75" s="4">
        <v>7.4999999999999997E-2</v>
      </c>
    </row>
    <row r="76" spans="1:7" x14ac:dyDescent="0.4">
      <c r="A76" s="1" t="s">
        <v>200</v>
      </c>
      <c r="B76" s="1" t="s">
        <v>188</v>
      </c>
      <c r="C76" s="1" t="s">
        <v>201</v>
      </c>
      <c r="D76" s="1" t="s">
        <v>41</v>
      </c>
      <c r="E76" s="4">
        <v>5</v>
      </c>
      <c r="F76" s="4">
        <v>40</v>
      </c>
      <c r="G76" s="4">
        <v>0.125</v>
      </c>
    </row>
    <row r="77" spans="1:7" x14ac:dyDescent="0.4">
      <c r="A77" s="1" t="s">
        <v>202</v>
      </c>
      <c r="B77" s="1" t="s">
        <v>188</v>
      </c>
      <c r="C77" s="1" t="s">
        <v>203</v>
      </c>
      <c r="D77" s="1" t="s">
        <v>44</v>
      </c>
      <c r="E77" s="4">
        <v>24</v>
      </c>
      <c r="F77" s="4">
        <v>40</v>
      </c>
      <c r="G77" s="4">
        <v>0.6</v>
      </c>
    </row>
    <row r="78" spans="1:7" x14ac:dyDescent="0.4">
      <c r="A78" s="1" t="s">
        <v>204</v>
      </c>
      <c r="B78" s="1" t="s">
        <v>188</v>
      </c>
      <c r="C78" s="1" t="s">
        <v>205</v>
      </c>
      <c r="D78" s="1" t="s">
        <v>48</v>
      </c>
      <c r="E78" s="4">
        <v>3</v>
      </c>
      <c r="F78" s="4">
        <v>40</v>
      </c>
      <c r="G78" s="4">
        <v>7.4999999999999997E-2</v>
      </c>
    </row>
    <row r="79" spans="1:7" x14ac:dyDescent="0.4">
      <c r="A79" s="1" t="s">
        <v>206</v>
      </c>
      <c r="B79" s="1" t="s">
        <v>188</v>
      </c>
      <c r="C79" s="1" t="s">
        <v>207</v>
      </c>
      <c r="D79" s="1" t="s">
        <v>51</v>
      </c>
      <c r="E79" s="4">
        <v>3</v>
      </c>
      <c r="F79" s="4">
        <v>40</v>
      </c>
      <c r="G79" s="4">
        <v>7.4999999999999997E-2</v>
      </c>
    </row>
    <row r="80" spans="1:7" x14ac:dyDescent="0.4">
      <c r="A80" s="1" t="s">
        <v>208</v>
      </c>
      <c r="B80" s="1" t="s">
        <v>188</v>
      </c>
      <c r="C80" s="1" t="s">
        <v>209</v>
      </c>
      <c r="D80" s="1" t="s">
        <v>54</v>
      </c>
      <c r="E80" s="4">
        <v>24</v>
      </c>
      <c r="F80" s="4">
        <v>40</v>
      </c>
      <c r="G80" s="4">
        <v>0.6</v>
      </c>
    </row>
    <row r="81" spans="1:7" x14ac:dyDescent="0.4">
      <c r="A81" s="1" t="s">
        <v>210</v>
      </c>
      <c r="B81" s="1" t="s">
        <v>211</v>
      </c>
      <c r="C81" s="1" t="s">
        <v>212</v>
      </c>
      <c r="D81" s="1" t="s">
        <v>57</v>
      </c>
      <c r="E81" s="4">
        <v>4</v>
      </c>
      <c r="F81" s="4">
        <v>40</v>
      </c>
      <c r="G81" s="4">
        <v>0.1</v>
      </c>
    </row>
    <row r="82" spans="1:7" x14ac:dyDescent="0.4">
      <c r="A82" s="1" t="s">
        <v>213</v>
      </c>
      <c r="B82" s="1" t="s">
        <v>211</v>
      </c>
      <c r="C82" s="1" t="s">
        <v>212</v>
      </c>
      <c r="D82" s="1" t="s">
        <v>60</v>
      </c>
      <c r="E82" s="4">
        <v>16</v>
      </c>
      <c r="F82" s="4">
        <v>40</v>
      </c>
      <c r="G82" s="4">
        <v>0.4</v>
      </c>
    </row>
    <row r="83" spans="1:7" x14ac:dyDescent="0.4">
      <c r="A83" s="1" t="s">
        <v>214</v>
      </c>
      <c r="B83" s="1" t="s">
        <v>211</v>
      </c>
      <c r="C83" s="1" t="s">
        <v>212</v>
      </c>
      <c r="D83" s="1" t="s">
        <v>63</v>
      </c>
      <c r="E83" s="4">
        <v>8</v>
      </c>
      <c r="F83" s="4">
        <v>40</v>
      </c>
      <c r="G83" s="4">
        <v>0.2</v>
      </c>
    </row>
    <row r="84" spans="1:7" x14ac:dyDescent="0.4">
      <c r="A84" s="1" t="s">
        <v>215</v>
      </c>
      <c r="B84" s="1" t="s">
        <v>211</v>
      </c>
      <c r="C84" s="1" t="s">
        <v>212</v>
      </c>
      <c r="D84" s="1" t="s">
        <v>66</v>
      </c>
      <c r="E84" s="4">
        <v>8</v>
      </c>
      <c r="F84" s="4">
        <v>40</v>
      </c>
      <c r="G84" s="4">
        <v>0.2</v>
      </c>
    </row>
    <row r="85" spans="1:7" x14ac:dyDescent="0.4">
      <c r="A85" s="1" t="s">
        <v>216</v>
      </c>
      <c r="B85" s="1" t="s">
        <v>211</v>
      </c>
      <c r="C85" s="1" t="s">
        <v>212</v>
      </c>
      <c r="D85" s="1" t="s">
        <v>69</v>
      </c>
      <c r="E85" s="4">
        <v>8</v>
      </c>
      <c r="F85" s="4">
        <v>40</v>
      </c>
      <c r="G85" s="4">
        <v>0.2</v>
      </c>
    </row>
    <row r="86" spans="1:7" x14ac:dyDescent="0.4">
      <c r="A86" s="1" t="s">
        <v>217</v>
      </c>
      <c r="B86" s="1" t="s">
        <v>211</v>
      </c>
      <c r="C86" s="1" t="s">
        <v>212</v>
      </c>
      <c r="D86" s="1" t="s">
        <v>72</v>
      </c>
      <c r="E86" s="4">
        <v>8</v>
      </c>
      <c r="F86" s="4">
        <v>40</v>
      </c>
      <c r="G86" s="4">
        <v>0.2</v>
      </c>
    </row>
    <row r="87" spans="1:7" x14ac:dyDescent="0.4">
      <c r="A87" s="1" t="s">
        <v>218</v>
      </c>
      <c r="B87" s="1" t="s">
        <v>211</v>
      </c>
      <c r="C87" s="1" t="s">
        <v>212</v>
      </c>
      <c r="D87" s="1" t="s">
        <v>75</v>
      </c>
      <c r="E87" s="4">
        <v>8</v>
      </c>
      <c r="F87" s="4">
        <v>40</v>
      </c>
      <c r="G87" s="4">
        <v>0.2</v>
      </c>
    </row>
    <row r="88" spans="1:7" x14ac:dyDescent="0.4">
      <c r="A88" s="1" t="s">
        <v>219</v>
      </c>
      <c r="B88" s="1" t="s">
        <v>211</v>
      </c>
      <c r="C88" s="1" t="s">
        <v>212</v>
      </c>
      <c r="D88" s="1" t="s">
        <v>78</v>
      </c>
      <c r="E88" s="4">
        <v>40</v>
      </c>
      <c r="F88" s="4">
        <v>40</v>
      </c>
      <c r="G88" s="4">
        <v>1</v>
      </c>
    </row>
    <row r="89" spans="1:7" x14ac:dyDescent="0.4">
      <c r="A89" s="1" t="s">
        <v>220</v>
      </c>
      <c r="B89" s="1" t="s">
        <v>211</v>
      </c>
      <c r="C89" s="1" t="s">
        <v>212</v>
      </c>
      <c r="D89" s="1" t="s">
        <v>81</v>
      </c>
      <c r="E89" s="4">
        <v>40</v>
      </c>
      <c r="F89" s="4">
        <v>40</v>
      </c>
      <c r="G89" s="4">
        <v>1</v>
      </c>
    </row>
    <row r="90" spans="1:7" x14ac:dyDescent="0.4">
      <c r="A90" s="1" t="s">
        <v>221</v>
      </c>
      <c r="B90" s="1" t="s">
        <v>211</v>
      </c>
      <c r="C90" s="1" t="s">
        <v>212</v>
      </c>
      <c r="D90" s="1" t="s">
        <v>84</v>
      </c>
      <c r="E90" s="4">
        <v>40</v>
      </c>
      <c r="F90" s="4">
        <v>40</v>
      </c>
      <c r="G90" s="4">
        <v>1</v>
      </c>
    </row>
    <row r="91" spans="1:7" x14ac:dyDescent="0.4">
      <c r="A91" s="1" t="s">
        <v>222</v>
      </c>
      <c r="B91" s="1" t="s">
        <v>211</v>
      </c>
      <c r="C91" s="1" t="s">
        <v>212</v>
      </c>
      <c r="D91" s="1" t="s">
        <v>87</v>
      </c>
      <c r="E91" s="4">
        <v>4</v>
      </c>
      <c r="F91" s="4">
        <v>40</v>
      </c>
      <c r="G91" s="4">
        <v>0.1</v>
      </c>
    </row>
    <row r="92" spans="1:7" x14ac:dyDescent="0.4">
      <c r="A92" s="1" t="s">
        <v>223</v>
      </c>
      <c r="B92" s="1" t="s">
        <v>211</v>
      </c>
      <c r="C92" s="1" t="s">
        <v>212</v>
      </c>
      <c r="D92" s="1" t="s">
        <v>90</v>
      </c>
      <c r="E92" s="4">
        <v>1</v>
      </c>
      <c r="F92" s="4">
        <v>40</v>
      </c>
      <c r="G92" s="4">
        <v>2.5000000000000001E-2</v>
      </c>
    </row>
    <row r="93" spans="1:7" x14ac:dyDescent="0.4">
      <c r="A93" s="1" t="s">
        <v>224</v>
      </c>
      <c r="B93" s="1" t="s">
        <v>211</v>
      </c>
      <c r="C93" s="1" t="s">
        <v>212</v>
      </c>
      <c r="D93" s="1" t="s">
        <v>93</v>
      </c>
      <c r="E93" s="4">
        <v>28.5</v>
      </c>
      <c r="F93" s="4">
        <v>40</v>
      </c>
      <c r="G93" s="4">
        <v>0.71250000000000002</v>
      </c>
    </row>
    <row r="94" spans="1:7" x14ac:dyDescent="0.4">
      <c r="A94" s="1" t="s">
        <v>225</v>
      </c>
      <c r="B94" s="1" t="s">
        <v>211</v>
      </c>
      <c r="C94" s="1" t="s">
        <v>212</v>
      </c>
      <c r="D94" s="1" t="s">
        <v>96</v>
      </c>
      <c r="E94" s="4">
        <v>8</v>
      </c>
      <c r="F94" s="4">
        <v>40</v>
      </c>
      <c r="G94" s="4">
        <v>0.2</v>
      </c>
    </row>
    <row r="95" spans="1:7" x14ac:dyDescent="0.4">
      <c r="A95" s="1" t="s">
        <v>226</v>
      </c>
      <c r="B95" s="1" t="s">
        <v>211</v>
      </c>
      <c r="C95" s="1" t="s">
        <v>212</v>
      </c>
      <c r="D95" s="1" t="s">
        <v>99</v>
      </c>
      <c r="E95" s="4">
        <v>4</v>
      </c>
      <c r="F95" s="4">
        <v>40</v>
      </c>
      <c r="G95" s="4">
        <v>0.1</v>
      </c>
    </row>
    <row r="96" spans="1:7" x14ac:dyDescent="0.4">
      <c r="A96" s="1" t="s">
        <v>227</v>
      </c>
      <c r="B96" s="1" t="s">
        <v>211</v>
      </c>
      <c r="C96" s="1" t="s">
        <v>212</v>
      </c>
      <c r="D96" s="1" t="s">
        <v>102</v>
      </c>
      <c r="E96" s="4">
        <v>4</v>
      </c>
      <c r="F96" s="4">
        <v>40</v>
      </c>
      <c r="G96" s="4">
        <v>0.1</v>
      </c>
    </row>
    <row r="97" spans="1:7" x14ac:dyDescent="0.4">
      <c r="A97" s="1" t="s">
        <v>228</v>
      </c>
      <c r="B97" s="1" t="s">
        <v>211</v>
      </c>
      <c r="C97" s="1" t="s">
        <v>212</v>
      </c>
      <c r="D97" s="1" t="s">
        <v>106</v>
      </c>
      <c r="E97" s="4">
        <v>22</v>
      </c>
      <c r="F97" s="4">
        <v>40</v>
      </c>
      <c r="G97" s="4">
        <v>0.55000000000000004</v>
      </c>
    </row>
    <row r="98" spans="1:7" x14ac:dyDescent="0.4">
      <c r="A98" s="1" t="s">
        <v>229</v>
      </c>
      <c r="B98" s="1" t="s">
        <v>211</v>
      </c>
      <c r="C98" s="1" t="s">
        <v>212</v>
      </c>
      <c r="D98" s="1" t="s">
        <v>10</v>
      </c>
      <c r="E98" s="4">
        <v>32</v>
      </c>
      <c r="F98" s="4">
        <v>40</v>
      </c>
      <c r="G98" s="4">
        <v>0.8</v>
      </c>
    </row>
    <row r="99" spans="1:7" x14ac:dyDescent="0.4">
      <c r="A99" s="1" t="s">
        <v>230</v>
      </c>
      <c r="B99" s="1" t="s">
        <v>211</v>
      </c>
      <c r="C99" s="1" t="s">
        <v>212</v>
      </c>
      <c r="D99" s="1" t="s">
        <v>13</v>
      </c>
      <c r="E99" s="4">
        <v>40</v>
      </c>
      <c r="F99" s="4">
        <v>40</v>
      </c>
      <c r="G99" s="4">
        <v>1</v>
      </c>
    </row>
    <row r="100" spans="1:7" x14ac:dyDescent="0.4">
      <c r="A100" s="1" t="s">
        <v>231</v>
      </c>
      <c r="B100" s="1" t="s">
        <v>211</v>
      </c>
      <c r="C100" s="1" t="s">
        <v>212</v>
      </c>
      <c r="D100" s="1" t="s">
        <v>16</v>
      </c>
      <c r="E100" s="4">
        <v>40</v>
      </c>
      <c r="F100" s="4">
        <v>40</v>
      </c>
      <c r="G100" s="4">
        <v>1</v>
      </c>
    </row>
    <row r="101" spans="1:7" x14ac:dyDescent="0.4">
      <c r="A101" s="1" t="s">
        <v>232</v>
      </c>
      <c r="B101" s="1" t="s">
        <v>211</v>
      </c>
      <c r="C101" s="1" t="s">
        <v>212</v>
      </c>
      <c r="D101" s="1" t="s">
        <v>19</v>
      </c>
      <c r="E101" s="4">
        <v>40</v>
      </c>
      <c r="F101" s="4">
        <v>40</v>
      </c>
      <c r="G101" s="4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CA1D3-FA2D-491D-B471-E7DC1A3F49EA}">
  <sheetPr codeName="Planilha1"/>
  <dimension ref="A1"/>
  <sheetViews>
    <sheetView workbookViewId="0">
      <selection activeCell="I14" sqref="I14"/>
    </sheetView>
  </sheetViews>
  <sheetFormatPr defaultRowHeight="14.6" x14ac:dyDescent="0.4"/>
  <sheetData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egundaMacro">
                <anchor moveWithCells="1" sizeWithCells="1">
                  <from>
                    <xdr:col>6</xdr:col>
                    <xdr:colOff>206829</xdr:colOff>
                    <xdr:row>2</xdr:row>
                    <xdr:rowOff>141514</xdr:rowOff>
                  </from>
                  <to>
                    <xdr:col>10</xdr:col>
                    <xdr:colOff>152400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8F65C-DDEB-4A16-9E67-D7D602F629A7}">
  <sheetPr codeName="Planilha4"/>
  <dimension ref="A1:N101"/>
  <sheetViews>
    <sheetView tabSelected="1" workbookViewId="0"/>
  </sheetViews>
  <sheetFormatPr defaultRowHeight="14.6" x14ac:dyDescent="0.4"/>
  <cols>
    <col min="1" max="1" width="14" style="5" bestFit="1" customWidth="1"/>
    <col min="2" max="2" width="4.765625" style="5" bestFit="1" customWidth="1"/>
    <col min="3" max="3" width="13.23046875" style="5" bestFit="1" customWidth="1"/>
    <col min="4" max="4" width="21.765625" style="5" bestFit="1" customWidth="1"/>
    <col min="5" max="5" width="28.23046875" style="5" bestFit="1" customWidth="1"/>
    <col min="6" max="6" width="15.765625" style="4" bestFit="1" customWidth="1"/>
    <col min="7" max="7" width="14.15234375" style="4" bestFit="1" customWidth="1"/>
    <col min="8" max="8" width="11.69140625" style="4" bestFit="1" customWidth="1"/>
    <col min="9" max="14" width="9.23046875" style="4"/>
  </cols>
  <sheetData>
    <row r="1" spans="1:8" x14ac:dyDescent="0.4">
      <c r="A1" s="6" t="s">
        <v>0</v>
      </c>
      <c r="B1" s="6" t="s">
        <v>1</v>
      </c>
      <c r="C1" s="6" t="s">
        <v>233</v>
      </c>
      <c r="D1" s="6" t="s">
        <v>2</v>
      </c>
      <c r="E1" s="6" t="s">
        <v>3</v>
      </c>
      <c r="F1" s="3" t="s">
        <v>4</v>
      </c>
      <c r="G1" s="3" t="s">
        <v>5</v>
      </c>
      <c r="H1" s="3" t="s">
        <v>6</v>
      </c>
    </row>
    <row r="2" spans="1:8" x14ac:dyDescent="0.4">
      <c r="A2" s="5" t="s">
        <v>7</v>
      </c>
      <c r="B2" s="5" t="s">
        <v>8</v>
      </c>
      <c r="C2" s="5" t="str">
        <f>VLOOKUP(B2,Estados!A:B,2,0)</f>
        <v>Rondônia</v>
      </c>
      <c r="D2" s="5" t="s">
        <v>9</v>
      </c>
      <c r="E2" s="5" t="s">
        <v>10</v>
      </c>
      <c r="F2" s="4">
        <v>17</v>
      </c>
      <c r="G2" s="4">
        <v>40</v>
      </c>
      <c r="H2" s="4">
        <v>0.42499999999999999</v>
      </c>
    </row>
    <row r="3" spans="1:8" x14ac:dyDescent="0.4">
      <c r="A3" s="5" t="s">
        <v>11</v>
      </c>
      <c r="B3" s="5" t="s">
        <v>8</v>
      </c>
      <c r="C3" s="5" t="str">
        <f>VLOOKUP(B3,Estados!A:B,2,0)</f>
        <v>Rondônia</v>
      </c>
      <c r="D3" s="5" t="s">
        <v>12</v>
      </c>
      <c r="E3" s="5" t="s">
        <v>13</v>
      </c>
      <c r="F3" s="4">
        <v>14</v>
      </c>
      <c r="G3" s="4">
        <v>40</v>
      </c>
      <c r="H3" s="4">
        <v>0.35</v>
      </c>
    </row>
    <row r="4" spans="1:8" x14ac:dyDescent="0.4">
      <c r="A4" s="5" t="s">
        <v>14</v>
      </c>
      <c r="B4" s="5" t="s">
        <v>8</v>
      </c>
      <c r="C4" s="5" t="str">
        <f>VLOOKUP(B4,Estados!A:B,2,0)</f>
        <v>Rondônia</v>
      </c>
      <c r="D4" s="5" t="s">
        <v>15</v>
      </c>
      <c r="E4" s="5" t="s">
        <v>16</v>
      </c>
      <c r="F4" s="4">
        <v>16</v>
      </c>
      <c r="G4" s="4">
        <v>40</v>
      </c>
      <c r="H4" s="4">
        <v>0.4</v>
      </c>
    </row>
    <row r="5" spans="1:8" x14ac:dyDescent="0.4">
      <c r="A5" s="5" t="s">
        <v>17</v>
      </c>
      <c r="B5" s="5" t="s">
        <v>8</v>
      </c>
      <c r="C5" s="5" t="str">
        <f>VLOOKUP(B5,Estados!A:B,2,0)</f>
        <v>Rondônia</v>
      </c>
      <c r="D5" s="5" t="s">
        <v>18</v>
      </c>
      <c r="E5" s="5" t="s">
        <v>19</v>
      </c>
      <c r="F5" s="4">
        <v>6</v>
      </c>
      <c r="G5" s="4">
        <v>40</v>
      </c>
      <c r="H5" s="4">
        <v>0.15</v>
      </c>
    </row>
    <row r="6" spans="1:8" x14ac:dyDescent="0.4">
      <c r="A6" s="5" t="s">
        <v>20</v>
      </c>
      <c r="B6" s="5" t="s">
        <v>8</v>
      </c>
      <c r="C6" s="5" t="str">
        <f>VLOOKUP(B6,Estados!A:B,2,0)</f>
        <v>Rondônia</v>
      </c>
      <c r="D6" s="5" t="s">
        <v>21</v>
      </c>
      <c r="E6" s="5" t="s">
        <v>22</v>
      </c>
      <c r="F6" s="4">
        <v>40</v>
      </c>
      <c r="G6" s="4">
        <v>40</v>
      </c>
      <c r="H6" s="4">
        <v>1</v>
      </c>
    </row>
    <row r="7" spans="1:8" x14ac:dyDescent="0.4">
      <c r="A7" s="5" t="s">
        <v>23</v>
      </c>
      <c r="B7" s="5" t="s">
        <v>8</v>
      </c>
      <c r="C7" s="5" t="str">
        <f>VLOOKUP(B7,Estados!A:B,2,0)</f>
        <v>Rondônia</v>
      </c>
      <c r="D7" s="5" t="s">
        <v>24</v>
      </c>
      <c r="E7" s="5" t="s">
        <v>25</v>
      </c>
      <c r="F7" s="4">
        <v>8</v>
      </c>
      <c r="G7" s="4">
        <v>40</v>
      </c>
      <c r="H7" s="4">
        <v>0.2</v>
      </c>
    </row>
    <row r="8" spans="1:8" x14ac:dyDescent="0.4">
      <c r="A8" s="5" t="s">
        <v>26</v>
      </c>
      <c r="B8" s="5" t="s">
        <v>8</v>
      </c>
      <c r="C8" s="5" t="str">
        <f>VLOOKUP(B8,Estados!A:B,2,0)</f>
        <v>Rondônia</v>
      </c>
      <c r="D8" s="5" t="s">
        <v>27</v>
      </c>
      <c r="E8" s="5" t="s">
        <v>28</v>
      </c>
      <c r="F8" s="4">
        <v>16</v>
      </c>
      <c r="G8" s="4">
        <v>40</v>
      </c>
      <c r="H8" s="4">
        <v>0.4</v>
      </c>
    </row>
    <row r="9" spans="1:8" x14ac:dyDescent="0.4">
      <c r="A9" s="5" t="s">
        <v>29</v>
      </c>
      <c r="B9" s="5" t="s">
        <v>8</v>
      </c>
      <c r="C9" s="5" t="str">
        <f>VLOOKUP(B9,Estados!A:B,2,0)</f>
        <v>Rondônia</v>
      </c>
      <c r="D9" s="5" t="s">
        <v>30</v>
      </c>
      <c r="E9" s="5" t="s">
        <v>31</v>
      </c>
      <c r="F9" s="4">
        <v>38</v>
      </c>
      <c r="G9" s="4">
        <v>40</v>
      </c>
      <c r="H9" s="4">
        <v>0.95</v>
      </c>
    </row>
    <row r="10" spans="1:8" x14ac:dyDescent="0.4">
      <c r="A10" s="5" t="s">
        <v>32</v>
      </c>
      <c r="B10" s="5" t="s">
        <v>33</v>
      </c>
      <c r="C10" s="5" t="str">
        <f>VLOOKUP(B10,Estados!A:B,2,0)</f>
        <v>Acre</v>
      </c>
      <c r="D10" s="5" t="s">
        <v>34</v>
      </c>
      <c r="E10" s="5" t="s">
        <v>35</v>
      </c>
      <c r="F10" s="4">
        <v>40</v>
      </c>
      <c r="G10" s="4">
        <v>40</v>
      </c>
      <c r="H10" s="4">
        <v>1</v>
      </c>
    </row>
    <row r="11" spans="1:8" x14ac:dyDescent="0.4">
      <c r="A11" s="5" t="s">
        <v>36</v>
      </c>
      <c r="B11" s="5" t="s">
        <v>33</v>
      </c>
      <c r="C11" s="5" t="str">
        <f>VLOOKUP(B11,Estados!A:B,2,0)</f>
        <v>Acre</v>
      </c>
      <c r="D11" s="5" t="s">
        <v>37</v>
      </c>
      <c r="E11" s="5" t="s">
        <v>38</v>
      </c>
      <c r="F11" s="4">
        <v>14</v>
      </c>
      <c r="G11" s="4">
        <v>40</v>
      </c>
      <c r="H11" s="4">
        <v>0.35</v>
      </c>
    </row>
    <row r="12" spans="1:8" x14ac:dyDescent="0.4">
      <c r="A12" s="5" t="s">
        <v>39</v>
      </c>
      <c r="B12" s="5" t="s">
        <v>33</v>
      </c>
      <c r="C12" s="5" t="str">
        <f>VLOOKUP(B12,Estados!A:B,2,0)</f>
        <v>Acre</v>
      </c>
      <c r="D12" s="5" t="s">
        <v>40</v>
      </c>
      <c r="E12" s="5" t="s">
        <v>41</v>
      </c>
      <c r="F12" s="4">
        <v>6</v>
      </c>
      <c r="G12" s="4">
        <v>40</v>
      </c>
      <c r="H12" s="4">
        <v>0.15</v>
      </c>
    </row>
    <row r="13" spans="1:8" x14ac:dyDescent="0.4">
      <c r="A13" s="5" t="s">
        <v>42</v>
      </c>
      <c r="B13" s="5" t="s">
        <v>33</v>
      </c>
      <c r="C13" s="5" t="str">
        <f>VLOOKUP(B13,Estados!A:B,2,0)</f>
        <v>Acre</v>
      </c>
      <c r="D13" s="5" t="s">
        <v>43</v>
      </c>
      <c r="E13" s="5" t="s">
        <v>44</v>
      </c>
      <c r="F13" s="4">
        <v>2</v>
      </c>
      <c r="G13" s="4">
        <v>40</v>
      </c>
      <c r="H13" s="4">
        <v>0.05</v>
      </c>
    </row>
    <row r="14" spans="1:8" x14ac:dyDescent="0.4">
      <c r="A14" s="5" t="s">
        <v>45</v>
      </c>
      <c r="B14" s="5" t="s">
        <v>46</v>
      </c>
      <c r="C14" s="5" t="str">
        <f>VLOOKUP(B14,Estados!A:B,2,0)</f>
        <v>Amazonas</v>
      </c>
      <c r="D14" s="5" t="s">
        <v>47</v>
      </c>
      <c r="E14" s="5" t="s">
        <v>48</v>
      </c>
      <c r="F14" s="4">
        <v>6</v>
      </c>
      <c r="G14" s="4">
        <v>40</v>
      </c>
      <c r="H14" s="4">
        <v>0.15</v>
      </c>
    </row>
    <row r="15" spans="1:8" x14ac:dyDescent="0.4">
      <c r="A15" s="5" t="s">
        <v>49</v>
      </c>
      <c r="B15" s="5" t="s">
        <v>46</v>
      </c>
      <c r="C15" s="5" t="str">
        <f>VLOOKUP(B15,Estados!A:B,2,0)</f>
        <v>Amazonas</v>
      </c>
      <c r="D15" s="5" t="s">
        <v>50</v>
      </c>
      <c r="E15" s="5" t="s">
        <v>51</v>
      </c>
      <c r="F15" s="4">
        <v>2</v>
      </c>
      <c r="G15" s="4">
        <v>40</v>
      </c>
      <c r="H15" s="4">
        <v>0.05</v>
      </c>
    </row>
    <row r="16" spans="1:8" x14ac:dyDescent="0.4">
      <c r="A16" s="5" t="s">
        <v>52</v>
      </c>
      <c r="B16" s="5" t="s">
        <v>46</v>
      </c>
      <c r="C16" s="5" t="str">
        <f>VLOOKUP(B16,Estados!A:B,2,0)</f>
        <v>Amazonas</v>
      </c>
      <c r="D16" s="5" t="s">
        <v>53</v>
      </c>
      <c r="E16" s="5" t="s">
        <v>54</v>
      </c>
      <c r="F16" s="4">
        <v>8</v>
      </c>
      <c r="G16" s="4">
        <v>40</v>
      </c>
      <c r="H16" s="4">
        <v>0.2</v>
      </c>
    </row>
    <row r="17" spans="1:8" x14ac:dyDescent="0.4">
      <c r="A17" s="5" t="s">
        <v>55</v>
      </c>
      <c r="B17" s="5" t="s">
        <v>46</v>
      </c>
      <c r="C17" s="5" t="str">
        <f>VLOOKUP(B17,Estados!A:B,2,0)</f>
        <v>Amazonas</v>
      </c>
      <c r="D17" s="5" t="s">
        <v>56</v>
      </c>
      <c r="E17" s="5" t="s">
        <v>57</v>
      </c>
      <c r="F17" s="4">
        <v>10</v>
      </c>
      <c r="G17" s="4">
        <v>40</v>
      </c>
      <c r="H17" s="4">
        <v>0.25</v>
      </c>
    </row>
    <row r="18" spans="1:8" x14ac:dyDescent="0.4">
      <c r="A18" s="5" t="s">
        <v>58</v>
      </c>
      <c r="B18" s="5" t="s">
        <v>46</v>
      </c>
      <c r="C18" s="5" t="str">
        <f>VLOOKUP(B18,Estados!A:B,2,0)</f>
        <v>Amazonas</v>
      </c>
      <c r="D18" s="5" t="s">
        <v>59</v>
      </c>
      <c r="E18" s="5" t="s">
        <v>60</v>
      </c>
      <c r="F18" s="4">
        <v>23</v>
      </c>
      <c r="G18" s="4">
        <v>40</v>
      </c>
      <c r="H18" s="4">
        <v>0.57499999999999996</v>
      </c>
    </row>
    <row r="19" spans="1:8" x14ac:dyDescent="0.4">
      <c r="A19" s="5" t="s">
        <v>61</v>
      </c>
      <c r="B19" s="5" t="s">
        <v>46</v>
      </c>
      <c r="C19" s="5" t="str">
        <f>VLOOKUP(B19,Estados!A:B,2,0)</f>
        <v>Amazonas</v>
      </c>
      <c r="D19" s="5" t="s">
        <v>62</v>
      </c>
      <c r="E19" s="5" t="s">
        <v>63</v>
      </c>
      <c r="F19" s="4">
        <v>2</v>
      </c>
      <c r="G19" s="4">
        <v>40</v>
      </c>
      <c r="H19" s="4">
        <v>0.05</v>
      </c>
    </row>
    <row r="20" spans="1:8" x14ac:dyDescent="0.4">
      <c r="A20" s="5" t="s">
        <v>64</v>
      </c>
      <c r="B20" s="5" t="s">
        <v>46</v>
      </c>
      <c r="C20" s="5" t="str">
        <f>VLOOKUP(B20,Estados!A:B,2,0)</f>
        <v>Amazonas</v>
      </c>
      <c r="D20" s="5" t="s">
        <v>65</v>
      </c>
      <c r="E20" s="5" t="s">
        <v>66</v>
      </c>
      <c r="F20" s="4">
        <v>2</v>
      </c>
      <c r="G20" s="4">
        <v>40</v>
      </c>
      <c r="H20" s="4">
        <v>0.05</v>
      </c>
    </row>
    <row r="21" spans="1:8" x14ac:dyDescent="0.4">
      <c r="A21" s="5" t="s">
        <v>67</v>
      </c>
      <c r="B21" s="5" t="s">
        <v>46</v>
      </c>
      <c r="C21" s="5" t="str">
        <f>VLOOKUP(B21,Estados!A:B,2,0)</f>
        <v>Amazonas</v>
      </c>
      <c r="D21" s="5" t="s">
        <v>68</v>
      </c>
      <c r="E21" s="5" t="s">
        <v>69</v>
      </c>
      <c r="F21" s="4">
        <v>8</v>
      </c>
      <c r="G21" s="4">
        <v>40</v>
      </c>
      <c r="H21" s="4">
        <v>0.2</v>
      </c>
    </row>
    <row r="22" spans="1:8" x14ac:dyDescent="0.4">
      <c r="A22" s="5" t="s">
        <v>70</v>
      </c>
      <c r="B22" s="5" t="s">
        <v>46</v>
      </c>
      <c r="C22" s="5" t="str">
        <f>VLOOKUP(B22,Estados!A:B,2,0)</f>
        <v>Amazonas</v>
      </c>
      <c r="D22" s="5" t="s">
        <v>71</v>
      </c>
      <c r="E22" s="5" t="s">
        <v>72</v>
      </c>
      <c r="F22" s="4">
        <v>3</v>
      </c>
      <c r="G22" s="4">
        <v>40</v>
      </c>
      <c r="H22" s="4">
        <v>7.4999999999999997E-2</v>
      </c>
    </row>
    <row r="23" spans="1:8" x14ac:dyDescent="0.4">
      <c r="A23" s="5" t="s">
        <v>73</v>
      </c>
      <c r="B23" s="5" t="s">
        <v>46</v>
      </c>
      <c r="C23" s="5" t="str">
        <f>VLOOKUP(B23,Estados!A:B,2,0)</f>
        <v>Amazonas</v>
      </c>
      <c r="D23" s="5" t="s">
        <v>74</v>
      </c>
      <c r="E23" s="5" t="s">
        <v>75</v>
      </c>
      <c r="F23" s="4">
        <v>3.5</v>
      </c>
      <c r="G23" s="4">
        <v>40</v>
      </c>
      <c r="H23" s="4">
        <v>8.7499999999999994E-2</v>
      </c>
    </row>
    <row r="24" spans="1:8" x14ac:dyDescent="0.4">
      <c r="A24" s="5" t="s">
        <v>76</v>
      </c>
      <c r="B24" s="5" t="s">
        <v>46</v>
      </c>
      <c r="C24" s="5" t="str">
        <f>VLOOKUP(B24,Estados!A:B,2,0)</f>
        <v>Amazonas</v>
      </c>
      <c r="D24" s="5" t="s">
        <v>77</v>
      </c>
      <c r="E24" s="5" t="s">
        <v>78</v>
      </c>
      <c r="F24" s="4">
        <v>3</v>
      </c>
      <c r="G24" s="4">
        <v>40</v>
      </c>
      <c r="H24" s="4">
        <v>7.4999999999999997E-2</v>
      </c>
    </row>
    <row r="25" spans="1:8" x14ac:dyDescent="0.4">
      <c r="A25" s="5" t="s">
        <v>79</v>
      </c>
      <c r="B25" s="5" t="s">
        <v>46</v>
      </c>
      <c r="C25" s="5" t="str">
        <f>VLOOKUP(B25,Estados!A:B,2,0)</f>
        <v>Amazonas</v>
      </c>
      <c r="D25" s="5" t="s">
        <v>80</v>
      </c>
      <c r="E25" s="5" t="s">
        <v>81</v>
      </c>
      <c r="F25" s="4">
        <v>6</v>
      </c>
      <c r="G25" s="4">
        <v>40</v>
      </c>
      <c r="H25" s="4">
        <v>0.15</v>
      </c>
    </row>
    <row r="26" spans="1:8" x14ac:dyDescent="0.4">
      <c r="A26" s="5" t="s">
        <v>82</v>
      </c>
      <c r="B26" s="5" t="s">
        <v>46</v>
      </c>
      <c r="C26" s="5" t="str">
        <f>VLOOKUP(B26,Estados!A:B,2,0)</f>
        <v>Amazonas</v>
      </c>
      <c r="D26" s="5" t="s">
        <v>83</v>
      </c>
      <c r="E26" s="5" t="s">
        <v>84</v>
      </c>
      <c r="F26" s="4">
        <v>5</v>
      </c>
      <c r="G26" s="4">
        <v>40</v>
      </c>
      <c r="H26" s="4">
        <v>0.125</v>
      </c>
    </row>
    <row r="27" spans="1:8" x14ac:dyDescent="0.4">
      <c r="A27" s="5" t="s">
        <v>85</v>
      </c>
      <c r="B27" s="5" t="s">
        <v>46</v>
      </c>
      <c r="C27" s="5" t="str">
        <f>VLOOKUP(B27,Estados!A:B,2,0)</f>
        <v>Amazonas</v>
      </c>
      <c r="D27" s="5" t="s">
        <v>86</v>
      </c>
      <c r="E27" s="5" t="s">
        <v>87</v>
      </c>
      <c r="F27" s="4">
        <v>16</v>
      </c>
      <c r="G27" s="4">
        <v>40</v>
      </c>
      <c r="H27" s="4">
        <v>0.4</v>
      </c>
    </row>
    <row r="28" spans="1:8" x14ac:dyDescent="0.4">
      <c r="A28" s="5" t="s">
        <v>88</v>
      </c>
      <c r="B28" s="5" t="s">
        <v>46</v>
      </c>
      <c r="C28" s="5" t="str">
        <f>VLOOKUP(B28,Estados!A:B,2,0)</f>
        <v>Amazonas</v>
      </c>
      <c r="D28" s="5" t="s">
        <v>89</v>
      </c>
      <c r="E28" s="5" t="s">
        <v>90</v>
      </c>
      <c r="F28" s="4">
        <v>40</v>
      </c>
      <c r="G28" s="4">
        <v>40</v>
      </c>
      <c r="H28" s="4">
        <v>1</v>
      </c>
    </row>
    <row r="29" spans="1:8" x14ac:dyDescent="0.4">
      <c r="A29" s="5" t="s">
        <v>91</v>
      </c>
      <c r="B29" s="5" t="s">
        <v>46</v>
      </c>
      <c r="C29" s="5" t="str">
        <f>VLOOKUP(B29,Estados!A:B,2,0)</f>
        <v>Amazonas</v>
      </c>
      <c r="D29" s="5" t="s">
        <v>92</v>
      </c>
      <c r="E29" s="5" t="s">
        <v>93</v>
      </c>
      <c r="F29" s="4">
        <v>40</v>
      </c>
      <c r="G29" s="4">
        <v>40</v>
      </c>
      <c r="H29" s="4">
        <v>1</v>
      </c>
    </row>
    <row r="30" spans="1:8" x14ac:dyDescent="0.4">
      <c r="A30" s="5" t="s">
        <v>94</v>
      </c>
      <c r="B30" s="5" t="s">
        <v>46</v>
      </c>
      <c r="C30" s="5" t="str">
        <f>VLOOKUP(B30,Estados!A:B,2,0)</f>
        <v>Amazonas</v>
      </c>
      <c r="D30" s="5" t="s">
        <v>95</v>
      </c>
      <c r="E30" s="5" t="s">
        <v>96</v>
      </c>
      <c r="F30" s="4">
        <v>2</v>
      </c>
      <c r="G30" s="4">
        <v>40</v>
      </c>
      <c r="H30" s="4">
        <v>0.05</v>
      </c>
    </row>
    <row r="31" spans="1:8" x14ac:dyDescent="0.4">
      <c r="A31" s="5" t="s">
        <v>97</v>
      </c>
      <c r="B31" s="5" t="s">
        <v>46</v>
      </c>
      <c r="C31" s="5" t="str">
        <f>VLOOKUP(B31,Estados!A:B,2,0)</f>
        <v>Amazonas</v>
      </c>
      <c r="D31" s="5" t="s">
        <v>98</v>
      </c>
      <c r="E31" s="5" t="s">
        <v>99</v>
      </c>
      <c r="F31" s="4">
        <v>1</v>
      </c>
      <c r="G31" s="4">
        <v>40</v>
      </c>
      <c r="H31" s="4">
        <v>2.5000000000000001E-2</v>
      </c>
    </row>
    <row r="32" spans="1:8" x14ac:dyDescent="0.4">
      <c r="A32" s="5" t="s">
        <v>100</v>
      </c>
      <c r="B32" s="5" t="s">
        <v>46</v>
      </c>
      <c r="C32" s="5" t="str">
        <f>VLOOKUP(B32,Estados!A:B,2,0)</f>
        <v>Amazonas</v>
      </c>
      <c r="D32" s="5" t="s">
        <v>101</v>
      </c>
      <c r="E32" s="5" t="s">
        <v>102</v>
      </c>
      <c r="F32" s="4">
        <v>2</v>
      </c>
      <c r="G32" s="4">
        <v>40</v>
      </c>
      <c r="H32" s="4">
        <v>0.05</v>
      </c>
    </row>
    <row r="33" spans="1:8" x14ac:dyDescent="0.4">
      <c r="A33" s="5" t="s">
        <v>103</v>
      </c>
      <c r="B33" s="5" t="s">
        <v>104</v>
      </c>
      <c r="C33" s="5" t="str">
        <f>VLOOKUP(B33,Estados!A:B,2,0)</f>
        <v>Roraima</v>
      </c>
      <c r="D33" s="5" t="s">
        <v>105</v>
      </c>
      <c r="E33" s="5" t="s">
        <v>106</v>
      </c>
      <c r="F33" s="4">
        <v>34.5</v>
      </c>
      <c r="G33" s="4">
        <v>40</v>
      </c>
      <c r="H33" s="4">
        <v>0.86250000000000004</v>
      </c>
    </row>
    <row r="34" spans="1:8" x14ac:dyDescent="0.4">
      <c r="A34" s="5" t="s">
        <v>107</v>
      </c>
      <c r="B34" s="5" t="s">
        <v>104</v>
      </c>
      <c r="C34" s="5" t="str">
        <f>VLOOKUP(B34,Estados!A:B,2,0)</f>
        <v>Roraima</v>
      </c>
      <c r="D34" s="5" t="s">
        <v>108</v>
      </c>
      <c r="E34" s="5" t="s">
        <v>10</v>
      </c>
      <c r="F34" s="4">
        <v>50</v>
      </c>
      <c r="G34" s="4">
        <v>40</v>
      </c>
      <c r="H34" s="4">
        <v>1.25</v>
      </c>
    </row>
    <row r="35" spans="1:8" x14ac:dyDescent="0.4">
      <c r="A35" s="5" t="s">
        <v>109</v>
      </c>
      <c r="B35" s="5" t="s">
        <v>104</v>
      </c>
      <c r="C35" s="5" t="str">
        <f>VLOOKUP(B35,Estados!A:B,2,0)</f>
        <v>Roraima</v>
      </c>
      <c r="D35" s="5" t="s">
        <v>110</v>
      </c>
      <c r="E35" s="5" t="s">
        <v>13</v>
      </c>
      <c r="F35" s="4">
        <v>40</v>
      </c>
      <c r="G35" s="4">
        <v>40</v>
      </c>
      <c r="H35" s="4">
        <v>1</v>
      </c>
    </row>
    <row r="36" spans="1:8" x14ac:dyDescent="0.4">
      <c r="A36" s="5" t="s">
        <v>111</v>
      </c>
      <c r="B36" s="5" t="s">
        <v>112</v>
      </c>
      <c r="C36" s="5" t="str">
        <f>VLOOKUP(B36,Estados!A:B,2,0)</f>
        <v>Pará</v>
      </c>
      <c r="D36" s="5" t="s">
        <v>113</v>
      </c>
      <c r="E36" s="5" t="s">
        <v>16</v>
      </c>
      <c r="F36" s="4">
        <v>26</v>
      </c>
      <c r="G36" s="4">
        <v>40</v>
      </c>
      <c r="H36" s="4">
        <v>0.65</v>
      </c>
    </row>
    <row r="37" spans="1:8" x14ac:dyDescent="0.4">
      <c r="A37" s="5" t="s">
        <v>114</v>
      </c>
      <c r="B37" s="5" t="s">
        <v>112</v>
      </c>
      <c r="C37" s="5" t="str">
        <f>VLOOKUP(B37,Estados!A:B,2,0)</f>
        <v>Pará</v>
      </c>
      <c r="D37" s="5" t="s">
        <v>115</v>
      </c>
      <c r="E37" s="5" t="s">
        <v>19</v>
      </c>
      <c r="F37" s="4">
        <v>4</v>
      </c>
      <c r="G37" s="4">
        <v>40</v>
      </c>
      <c r="H37" s="4">
        <v>0.1</v>
      </c>
    </row>
    <row r="38" spans="1:8" x14ac:dyDescent="0.4">
      <c r="A38" s="5" t="s">
        <v>116</v>
      </c>
      <c r="B38" s="5" t="s">
        <v>112</v>
      </c>
      <c r="C38" s="5" t="str">
        <f>VLOOKUP(B38,Estados!A:B,2,0)</f>
        <v>Pará</v>
      </c>
      <c r="D38" s="5" t="s">
        <v>117</v>
      </c>
      <c r="E38" s="5" t="s">
        <v>22</v>
      </c>
      <c r="F38" s="4">
        <v>40</v>
      </c>
      <c r="G38" s="4">
        <v>40</v>
      </c>
      <c r="H38" s="4">
        <v>1</v>
      </c>
    </row>
    <row r="39" spans="1:8" x14ac:dyDescent="0.4">
      <c r="A39" s="5" t="s">
        <v>118</v>
      </c>
      <c r="B39" s="5" t="s">
        <v>119</v>
      </c>
      <c r="C39" s="5" t="str">
        <f>VLOOKUP(B39,Estados!A:B,2,0)</f>
        <v>Amapá</v>
      </c>
      <c r="D39" s="5" t="s">
        <v>120</v>
      </c>
      <c r="E39" s="5" t="s">
        <v>25</v>
      </c>
      <c r="F39" s="4">
        <v>12</v>
      </c>
      <c r="G39" s="4">
        <v>40</v>
      </c>
      <c r="H39" s="4">
        <v>0.3</v>
      </c>
    </row>
    <row r="40" spans="1:8" x14ac:dyDescent="0.4">
      <c r="A40" s="5" t="s">
        <v>121</v>
      </c>
      <c r="B40" s="5" t="s">
        <v>119</v>
      </c>
      <c r="C40" s="5" t="str">
        <f>VLOOKUP(B40,Estados!A:B,2,0)</f>
        <v>Amapá</v>
      </c>
      <c r="D40" s="5" t="s">
        <v>122</v>
      </c>
      <c r="E40" s="5" t="s">
        <v>28</v>
      </c>
      <c r="F40" s="4">
        <v>40</v>
      </c>
      <c r="G40" s="4">
        <v>40</v>
      </c>
      <c r="H40" s="4">
        <v>1</v>
      </c>
    </row>
    <row r="41" spans="1:8" x14ac:dyDescent="0.4">
      <c r="A41" s="5" t="s">
        <v>123</v>
      </c>
      <c r="B41" s="5" t="s">
        <v>119</v>
      </c>
      <c r="C41" s="5" t="str">
        <f>VLOOKUP(B41,Estados!A:B,2,0)</f>
        <v>Amapá</v>
      </c>
      <c r="D41" s="5" t="s">
        <v>124</v>
      </c>
      <c r="E41" s="5" t="s">
        <v>31</v>
      </c>
      <c r="F41" s="4">
        <v>28</v>
      </c>
      <c r="G41" s="4">
        <v>40</v>
      </c>
      <c r="H41" s="4">
        <v>0.7</v>
      </c>
    </row>
    <row r="42" spans="1:8" x14ac:dyDescent="0.4">
      <c r="A42" s="5" t="s">
        <v>125</v>
      </c>
      <c r="B42" s="5" t="s">
        <v>119</v>
      </c>
      <c r="C42" s="5" t="str">
        <f>VLOOKUP(B42,Estados!A:B,2,0)</f>
        <v>Amapá</v>
      </c>
      <c r="D42" s="5" t="s">
        <v>126</v>
      </c>
      <c r="E42" s="5" t="s">
        <v>35</v>
      </c>
      <c r="F42" s="4">
        <v>39</v>
      </c>
      <c r="G42" s="4">
        <v>40</v>
      </c>
      <c r="H42" s="4">
        <v>0.97499999999999998</v>
      </c>
    </row>
    <row r="43" spans="1:8" x14ac:dyDescent="0.4">
      <c r="A43" s="5" t="s">
        <v>127</v>
      </c>
      <c r="B43" s="5" t="s">
        <v>119</v>
      </c>
      <c r="C43" s="5" t="str">
        <f>VLOOKUP(B43,Estados!A:B,2,0)</f>
        <v>Amapá</v>
      </c>
      <c r="D43" s="5" t="s">
        <v>128</v>
      </c>
      <c r="E43" s="5" t="s">
        <v>38</v>
      </c>
      <c r="F43" s="4">
        <v>24</v>
      </c>
      <c r="G43" s="4">
        <v>40</v>
      </c>
      <c r="H43" s="4">
        <v>0.6</v>
      </c>
    </row>
    <row r="44" spans="1:8" x14ac:dyDescent="0.4">
      <c r="A44" s="5" t="s">
        <v>129</v>
      </c>
      <c r="B44" s="5" t="s">
        <v>130</v>
      </c>
      <c r="C44" s="5" t="str">
        <f>VLOOKUP(B44,Estados!A:B,2,0)</f>
        <v>Tocantins</v>
      </c>
      <c r="D44" s="5" t="s">
        <v>131</v>
      </c>
      <c r="E44" s="5" t="s">
        <v>41</v>
      </c>
      <c r="F44" s="4">
        <v>32</v>
      </c>
      <c r="G44" s="4">
        <v>40</v>
      </c>
      <c r="H44" s="4">
        <v>0.8</v>
      </c>
    </row>
    <row r="45" spans="1:8" x14ac:dyDescent="0.4">
      <c r="A45" s="5" t="s">
        <v>132</v>
      </c>
      <c r="B45" s="5" t="s">
        <v>130</v>
      </c>
      <c r="C45" s="5" t="str">
        <f>VLOOKUP(B45,Estados!A:B,2,0)</f>
        <v>Tocantins</v>
      </c>
      <c r="D45" s="5" t="s">
        <v>133</v>
      </c>
      <c r="E45" s="5" t="s">
        <v>44</v>
      </c>
      <c r="F45" s="4">
        <v>8</v>
      </c>
      <c r="G45" s="4">
        <v>40</v>
      </c>
      <c r="H45" s="4">
        <v>0.2</v>
      </c>
    </row>
    <row r="46" spans="1:8" x14ac:dyDescent="0.4">
      <c r="A46" s="5" t="s">
        <v>134</v>
      </c>
      <c r="B46" s="5" t="s">
        <v>130</v>
      </c>
      <c r="C46" s="5" t="str">
        <f>VLOOKUP(B46,Estados!A:B,2,0)</f>
        <v>Tocantins</v>
      </c>
      <c r="D46" s="5" t="s">
        <v>135</v>
      </c>
      <c r="E46" s="5" t="s">
        <v>48</v>
      </c>
      <c r="F46" s="4">
        <v>4</v>
      </c>
      <c r="G46" s="4">
        <v>40</v>
      </c>
      <c r="H46" s="4">
        <v>0.1</v>
      </c>
    </row>
    <row r="47" spans="1:8" x14ac:dyDescent="0.4">
      <c r="A47" s="5" t="s">
        <v>136</v>
      </c>
      <c r="B47" s="5" t="s">
        <v>130</v>
      </c>
      <c r="C47" s="5" t="str">
        <f>VLOOKUP(B47,Estados!A:B,2,0)</f>
        <v>Tocantins</v>
      </c>
      <c r="D47" s="5" t="s">
        <v>137</v>
      </c>
      <c r="E47" s="5" t="s">
        <v>51</v>
      </c>
      <c r="F47" s="4">
        <v>2</v>
      </c>
      <c r="G47" s="4">
        <v>40</v>
      </c>
      <c r="H47" s="4">
        <v>0.05</v>
      </c>
    </row>
    <row r="48" spans="1:8" x14ac:dyDescent="0.4">
      <c r="A48" s="5" t="s">
        <v>138</v>
      </c>
      <c r="B48" s="5" t="s">
        <v>130</v>
      </c>
      <c r="C48" s="5" t="str">
        <f>VLOOKUP(B48,Estados!A:B,2,0)</f>
        <v>Tocantins</v>
      </c>
      <c r="D48" s="5" t="s">
        <v>139</v>
      </c>
      <c r="E48" s="5" t="s">
        <v>54</v>
      </c>
      <c r="F48" s="4">
        <v>40</v>
      </c>
      <c r="G48" s="4">
        <v>40</v>
      </c>
      <c r="H48" s="4">
        <v>1</v>
      </c>
    </row>
    <row r="49" spans="1:8" x14ac:dyDescent="0.4">
      <c r="A49" s="5" t="s">
        <v>140</v>
      </c>
      <c r="B49" s="5" t="s">
        <v>141</v>
      </c>
      <c r="C49" s="5" t="str">
        <f>VLOOKUP(B49,Estados!A:B,2,0)</f>
        <v>Maranhão</v>
      </c>
      <c r="D49" s="5" t="s">
        <v>142</v>
      </c>
      <c r="E49" s="5" t="s">
        <v>57</v>
      </c>
      <c r="F49" s="4">
        <v>40</v>
      </c>
      <c r="G49" s="4">
        <v>40</v>
      </c>
      <c r="H49" s="4">
        <v>1</v>
      </c>
    </row>
    <row r="50" spans="1:8" x14ac:dyDescent="0.4">
      <c r="A50" s="5" t="s">
        <v>143</v>
      </c>
      <c r="B50" s="5" t="s">
        <v>141</v>
      </c>
      <c r="C50" s="5" t="str">
        <f>VLOOKUP(B50,Estados!A:B,2,0)</f>
        <v>Maranhão</v>
      </c>
      <c r="D50" s="5" t="s">
        <v>144</v>
      </c>
      <c r="E50" s="5" t="s">
        <v>60</v>
      </c>
      <c r="F50" s="4">
        <v>4</v>
      </c>
      <c r="G50" s="4">
        <v>40</v>
      </c>
      <c r="H50" s="4">
        <v>0.1</v>
      </c>
    </row>
    <row r="51" spans="1:8" x14ac:dyDescent="0.4">
      <c r="A51" s="5" t="s">
        <v>145</v>
      </c>
      <c r="B51" s="5" t="s">
        <v>141</v>
      </c>
      <c r="C51" s="5" t="str">
        <f>VLOOKUP(B51,Estados!A:B,2,0)</f>
        <v>Maranhão</v>
      </c>
      <c r="D51" s="5" t="s">
        <v>146</v>
      </c>
      <c r="E51" s="5" t="s">
        <v>63</v>
      </c>
      <c r="F51" s="4">
        <v>4</v>
      </c>
      <c r="G51" s="4">
        <v>40</v>
      </c>
      <c r="H51" s="4">
        <v>0.1</v>
      </c>
    </row>
    <row r="52" spans="1:8" x14ac:dyDescent="0.4">
      <c r="A52" s="5" t="s">
        <v>147</v>
      </c>
      <c r="B52" s="5" t="s">
        <v>141</v>
      </c>
      <c r="C52" s="5" t="str">
        <f>VLOOKUP(B52,Estados!A:B,2,0)</f>
        <v>Maranhão</v>
      </c>
      <c r="D52" s="5" t="s">
        <v>148</v>
      </c>
      <c r="E52" s="5" t="s">
        <v>66</v>
      </c>
      <c r="F52" s="4">
        <v>2</v>
      </c>
      <c r="G52" s="4">
        <v>40</v>
      </c>
      <c r="H52" s="4">
        <v>0.05</v>
      </c>
    </row>
    <row r="53" spans="1:8" x14ac:dyDescent="0.4">
      <c r="A53" s="5" t="s">
        <v>149</v>
      </c>
      <c r="B53" s="5" t="s">
        <v>150</v>
      </c>
      <c r="C53" s="5" t="str">
        <f>VLOOKUP(B53,Estados!A:B,2,0)</f>
        <v>Rio de Janeiro</v>
      </c>
      <c r="D53" s="5" t="s">
        <v>151</v>
      </c>
      <c r="E53" s="5" t="s">
        <v>69</v>
      </c>
      <c r="F53" s="4">
        <v>2</v>
      </c>
      <c r="G53" s="4">
        <v>40</v>
      </c>
      <c r="H53" s="4">
        <v>0.05</v>
      </c>
    </row>
    <row r="54" spans="1:8" x14ac:dyDescent="0.4">
      <c r="A54" s="5" t="s">
        <v>152</v>
      </c>
      <c r="B54" s="5" t="s">
        <v>150</v>
      </c>
      <c r="C54" s="5" t="str">
        <f>VLOOKUP(B54,Estados!A:B,2,0)</f>
        <v>Rio de Janeiro</v>
      </c>
      <c r="D54" s="5" t="s">
        <v>153</v>
      </c>
      <c r="E54" s="5" t="s">
        <v>72</v>
      </c>
      <c r="F54" s="4">
        <v>4</v>
      </c>
      <c r="G54" s="4">
        <v>40</v>
      </c>
      <c r="H54" s="4">
        <v>0.1</v>
      </c>
    </row>
    <row r="55" spans="1:8" x14ac:dyDescent="0.4">
      <c r="A55" s="5" t="s">
        <v>154</v>
      </c>
      <c r="B55" s="5" t="s">
        <v>150</v>
      </c>
      <c r="C55" s="5" t="str">
        <f>VLOOKUP(B55,Estados!A:B,2,0)</f>
        <v>Rio de Janeiro</v>
      </c>
      <c r="D55" s="5" t="s">
        <v>155</v>
      </c>
      <c r="E55" s="5" t="s">
        <v>75</v>
      </c>
      <c r="F55" s="4">
        <v>35</v>
      </c>
      <c r="G55" s="4">
        <v>40</v>
      </c>
      <c r="H55" s="4">
        <v>0.875</v>
      </c>
    </row>
    <row r="56" spans="1:8" x14ac:dyDescent="0.4">
      <c r="A56" s="5" t="s">
        <v>156</v>
      </c>
      <c r="B56" s="5" t="s">
        <v>157</v>
      </c>
      <c r="C56" s="5" t="str">
        <f>VLOOKUP(B56,Estados!A:B,2,0)</f>
        <v>São Paulo</v>
      </c>
      <c r="D56" s="5" t="s">
        <v>158</v>
      </c>
      <c r="E56" s="5" t="s">
        <v>78</v>
      </c>
      <c r="F56" s="4">
        <v>6</v>
      </c>
      <c r="G56" s="4">
        <v>40</v>
      </c>
      <c r="H56" s="4">
        <v>0.15</v>
      </c>
    </row>
    <row r="57" spans="1:8" x14ac:dyDescent="0.4">
      <c r="A57" s="5" t="s">
        <v>159</v>
      </c>
      <c r="B57" s="5" t="s">
        <v>157</v>
      </c>
      <c r="C57" s="5" t="str">
        <f>VLOOKUP(B57,Estados!A:B,2,0)</f>
        <v>São Paulo</v>
      </c>
      <c r="D57" s="5" t="s">
        <v>160</v>
      </c>
      <c r="E57" s="5" t="s">
        <v>81</v>
      </c>
      <c r="F57" s="4">
        <v>11</v>
      </c>
      <c r="G57" s="4">
        <v>40</v>
      </c>
      <c r="H57" s="4">
        <v>0.27500000000000002</v>
      </c>
    </row>
    <row r="58" spans="1:8" x14ac:dyDescent="0.4">
      <c r="A58" s="5" t="s">
        <v>161</v>
      </c>
      <c r="B58" s="5" t="s">
        <v>157</v>
      </c>
      <c r="C58" s="5" t="str">
        <f>VLOOKUP(B58,Estados!A:B,2,0)</f>
        <v>São Paulo</v>
      </c>
      <c r="D58" s="5" t="s">
        <v>162</v>
      </c>
      <c r="E58" s="5" t="s">
        <v>84</v>
      </c>
      <c r="F58" s="4">
        <v>2</v>
      </c>
      <c r="G58" s="4">
        <v>40</v>
      </c>
      <c r="H58" s="4">
        <v>0.05</v>
      </c>
    </row>
    <row r="59" spans="1:8" x14ac:dyDescent="0.4">
      <c r="A59" s="5" t="s">
        <v>163</v>
      </c>
      <c r="B59" s="5" t="s">
        <v>157</v>
      </c>
      <c r="C59" s="5" t="str">
        <f>VLOOKUP(B59,Estados!A:B,2,0)</f>
        <v>São Paulo</v>
      </c>
      <c r="D59" s="5" t="s">
        <v>164</v>
      </c>
      <c r="E59" s="5" t="s">
        <v>87</v>
      </c>
      <c r="F59" s="4">
        <v>4</v>
      </c>
      <c r="G59" s="4">
        <v>40</v>
      </c>
      <c r="H59" s="4">
        <v>0.1</v>
      </c>
    </row>
    <row r="60" spans="1:8" x14ac:dyDescent="0.4">
      <c r="A60" s="5" t="s">
        <v>165</v>
      </c>
      <c r="B60" s="5" t="s">
        <v>157</v>
      </c>
      <c r="C60" s="5" t="str">
        <f>VLOOKUP(B60,Estados!A:B,2,0)</f>
        <v>São Paulo</v>
      </c>
      <c r="D60" s="5" t="s">
        <v>166</v>
      </c>
      <c r="E60" s="5" t="s">
        <v>90</v>
      </c>
      <c r="F60" s="4">
        <v>4</v>
      </c>
      <c r="G60" s="4">
        <v>40</v>
      </c>
      <c r="H60" s="4">
        <v>0.1</v>
      </c>
    </row>
    <row r="61" spans="1:8" x14ac:dyDescent="0.4">
      <c r="A61" s="5" t="s">
        <v>167</v>
      </c>
      <c r="B61" s="5" t="s">
        <v>157</v>
      </c>
      <c r="C61" s="5" t="str">
        <f>VLOOKUP(B61,Estados!A:B,2,0)</f>
        <v>São Paulo</v>
      </c>
      <c r="D61" s="5" t="s">
        <v>168</v>
      </c>
      <c r="E61" s="5" t="s">
        <v>93</v>
      </c>
      <c r="F61" s="4">
        <v>10</v>
      </c>
      <c r="G61" s="4">
        <v>40</v>
      </c>
      <c r="H61" s="4">
        <v>0.25</v>
      </c>
    </row>
    <row r="62" spans="1:8" x14ac:dyDescent="0.4">
      <c r="A62" s="5" t="s">
        <v>169</v>
      </c>
      <c r="B62" s="5" t="s">
        <v>157</v>
      </c>
      <c r="C62" s="5" t="str">
        <f>VLOOKUP(B62,Estados!A:B,2,0)</f>
        <v>São Paulo</v>
      </c>
      <c r="D62" s="5" t="s">
        <v>170</v>
      </c>
      <c r="E62" s="5" t="s">
        <v>96</v>
      </c>
      <c r="F62" s="4">
        <v>3</v>
      </c>
      <c r="G62" s="4">
        <v>40</v>
      </c>
      <c r="H62" s="4">
        <v>7.4999999999999997E-2</v>
      </c>
    </row>
    <row r="63" spans="1:8" x14ac:dyDescent="0.4">
      <c r="A63" s="5" t="s">
        <v>171</v>
      </c>
      <c r="B63" s="5" t="s">
        <v>172</v>
      </c>
      <c r="C63" s="5" t="str">
        <f>VLOOKUP(B63,Estados!A:B,2,0)</f>
        <v>Paraná</v>
      </c>
      <c r="D63" s="5" t="s">
        <v>173</v>
      </c>
      <c r="E63" s="5" t="s">
        <v>99</v>
      </c>
      <c r="F63" s="4">
        <v>3</v>
      </c>
      <c r="G63" s="4">
        <v>40</v>
      </c>
      <c r="H63" s="4">
        <v>7.4999999999999997E-2</v>
      </c>
    </row>
    <row r="64" spans="1:8" x14ac:dyDescent="0.4">
      <c r="A64" s="5" t="s">
        <v>174</v>
      </c>
      <c r="B64" s="5" t="s">
        <v>172</v>
      </c>
      <c r="C64" s="5" t="str">
        <f>VLOOKUP(B64,Estados!A:B,2,0)</f>
        <v>Paraná</v>
      </c>
      <c r="D64" s="5" t="s">
        <v>175</v>
      </c>
      <c r="E64" s="5" t="s">
        <v>102</v>
      </c>
      <c r="F64" s="4">
        <v>38</v>
      </c>
      <c r="G64" s="4">
        <v>40</v>
      </c>
      <c r="H64" s="4">
        <v>0.95</v>
      </c>
    </row>
    <row r="65" spans="1:8" x14ac:dyDescent="0.4">
      <c r="A65" s="5" t="s">
        <v>176</v>
      </c>
      <c r="B65" s="5" t="s">
        <v>172</v>
      </c>
      <c r="C65" s="5" t="str">
        <f>VLOOKUP(B65,Estados!A:B,2,0)</f>
        <v>Paraná</v>
      </c>
      <c r="D65" s="5" t="s">
        <v>177</v>
      </c>
      <c r="E65" s="5" t="s">
        <v>106</v>
      </c>
      <c r="F65" s="4">
        <v>40</v>
      </c>
      <c r="G65" s="4">
        <v>40</v>
      </c>
      <c r="H65" s="4">
        <v>1</v>
      </c>
    </row>
    <row r="66" spans="1:8" x14ac:dyDescent="0.4">
      <c r="A66" s="5" t="s">
        <v>178</v>
      </c>
      <c r="B66" s="5" t="s">
        <v>179</v>
      </c>
      <c r="C66" s="5" t="str">
        <f>VLOOKUP(B66,Estados!A:B,2,0)</f>
        <v>Santa Catarina</v>
      </c>
      <c r="D66" s="5" t="s">
        <v>180</v>
      </c>
      <c r="E66" s="5" t="s">
        <v>10</v>
      </c>
      <c r="F66" s="4">
        <v>16</v>
      </c>
      <c r="G66" s="4">
        <v>40</v>
      </c>
      <c r="H66" s="4">
        <v>0.4</v>
      </c>
    </row>
    <row r="67" spans="1:8" x14ac:dyDescent="0.4">
      <c r="A67" s="5" t="s">
        <v>181</v>
      </c>
      <c r="B67" s="5" t="s">
        <v>179</v>
      </c>
      <c r="C67" s="5" t="str">
        <f>VLOOKUP(B67,Estados!A:B,2,0)</f>
        <v>Santa Catarina</v>
      </c>
      <c r="D67" s="5" t="s">
        <v>182</v>
      </c>
      <c r="E67" s="5" t="s">
        <v>13</v>
      </c>
      <c r="F67" s="4">
        <v>24</v>
      </c>
      <c r="G67" s="4">
        <v>40</v>
      </c>
      <c r="H67" s="4">
        <v>0.6</v>
      </c>
    </row>
    <row r="68" spans="1:8" x14ac:dyDescent="0.4">
      <c r="A68" s="5" t="s">
        <v>183</v>
      </c>
      <c r="B68" s="5" t="s">
        <v>179</v>
      </c>
      <c r="C68" s="5" t="str">
        <f>VLOOKUP(B68,Estados!A:B,2,0)</f>
        <v>Santa Catarina</v>
      </c>
      <c r="D68" s="5" t="s">
        <v>184</v>
      </c>
      <c r="E68" s="5" t="s">
        <v>16</v>
      </c>
      <c r="F68" s="4">
        <v>16</v>
      </c>
      <c r="G68" s="4">
        <v>40</v>
      </c>
      <c r="H68" s="4">
        <v>0.4</v>
      </c>
    </row>
    <row r="69" spans="1:8" x14ac:dyDescent="0.4">
      <c r="A69" s="5" t="s">
        <v>185</v>
      </c>
      <c r="B69" s="5" t="s">
        <v>179</v>
      </c>
      <c r="C69" s="5" t="str">
        <f>VLOOKUP(B69,Estados!A:B,2,0)</f>
        <v>Santa Catarina</v>
      </c>
      <c r="D69" s="5" t="s">
        <v>186</v>
      </c>
      <c r="E69" s="5" t="s">
        <v>19</v>
      </c>
      <c r="F69" s="4">
        <v>40</v>
      </c>
      <c r="G69" s="4">
        <v>40</v>
      </c>
      <c r="H69" s="4">
        <v>1</v>
      </c>
    </row>
    <row r="70" spans="1:8" x14ac:dyDescent="0.4">
      <c r="A70" s="5" t="s">
        <v>187</v>
      </c>
      <c r="B70" s="5" t="s">
        <v>188</v>
      </c>
      <c r="C70" s="5" t="str">
        <f>VLOOKUP(B70,Estados!A:B,2,0)</f>
        <v>Goiás</v>
      </c>
      <c r="D70" s="5" t="s">
        <v>189</v>
      </c>
      <c r="E70" s="5" t="s">
        <v>22</v>
      </c>
      <c r="F70" s="4">
        <v>40</v>
      </c>
      <c r="G70" s="4">
        <v>40</v>
      </c>
      <c r="H70" s="4">
        <v>1</v>
      </c>
    </row>
    <row r="71" spans="1:8" x14ac:dyDescent="0.4">
      <c r="A71" s="5" t="s">
        <v>190</v>
      </c>
      <c r="B71" s="5" t="s">
        <v>188</v>
      </c>
      <c r="C71" s="5" t="str">
        <f>VLOOKUP(B71,Estados!A:B,2,0)</f>
        <v>Goiás</v>
      </c>
      <c r="D71" s="5" t="s">
        <v>191</v>
      </c>
      <c r="E71" s="5" t="s">
        <v>25</v>
      </c>
      <c r="F71" s="4">
        <v>40</v>
      </c>
      <c r="G71" s="4">
        <v>40</v>
      </c>
      <c r="H71" s="4">
        <v>1</v>
      </c>
    </row>
    <row r="72" spans="1:8" x14ac:dyDescent="0.4">
      <c r="A72" s="5" t="s">
        <v>192</v>
      </c>
      <c r="B72" s="5" t="s">
        <v>188</v>
      </c>
      <c r="C72" s="5" t="str">
        <f>VLOOKUP(B72,Estados!A:B,2,0)</f>
        <v>Goiás</v>
      </c>
      <c r="D72" s="5" t="s">
        <v>193</v>
      </c>
      <c r="E72" s="5" t="s">
        <v>28</v>
      </c>
      <c r="F72" s="4">
        <v>40</v>
      </c>
      <c r="G72" s="4">
        <v>40</v>
      </c>
      <c r="H72" s="4">
        <v>1</v>
      </c>
    </row>
    <row r="73" spans="1:8" x14ac:dyDescent="0.4">
      <c r="A73" s="5" t="s">
        <v>194</v>
      </c>
      <c r="B73" s="5" t="s">
        <v>188</v>
      </c>
      <c r="C73" s="5" t="str">
        <f>VLOOKUP(B73,Estados!A:B,2,0)</f>
        <v>Goiás</v>
      </c>
      <c r="D73" s="5" t="s">
        <v>195</v>
      </c>
      <c r="E73" s="5" t="s">
        <v>31</v>
      </c>
      <c r="F73" s="4">
        <v>40</v>
      </c>
      <c r="G73" s="4">
        <v>40</v>
      </c>
      <c r="H73" s="4">
        <v>1</v>
      </c>
    </row>
    <row r="74" spans="1:8" x14ac:dyDescent="0.4">
      <c r="A74" s="5" t="s">
        <v>196</v>
      </c>
      <c r="B74" s="5" t="s">
        <v>188</v>
      </c>
      <c r="C74" s="5" t="str">
        <f>VLOOKUP(B74,Estados!A:B,2,0)</f>
        <v>Goiás</v>
      </c>
      <c r="D74" s="5" t="s">
        <v>197</v>
      </c>
      <c r="E74" s="5" t="s">
        <v>35</v>
      </c>
      <c r="F74" s="4">
        <v>40</v>
      </c>
      <c r="G74" s="4">
        <v>40</v>
      </c>
      <c r="H74" s="4">
        <v>1</v>
      </c>
    </row>
    <row r="75" spans="1:8" x14ac:dyDescent="0.4">
      <c r="A75" s="5" t="s">
        <v>198</v>
      </c>
      <c r="B75" s="5" t="s">
        <v>188</v>
      </c>
      <c r="C75" s="5" t="str">
        <f>VLOOKUP(B75,Estados!A:B,2,0)</f>
        <v>Goiás</v>
      </c>
      <c r="D75" s="5" t="s">
        <v>199</v>
      </c>
      <c r="E75" s="5" t="s">
        <v>38</v>
      </c>
      <c r="F75" s="4">
        <v>3</v>
      </c>
      <c r="G75" s="4">
        <v>40</v>
      </c>
      <c r="H75" s="4">
        <v>7.4999999999999997E-2</v>
      </c>
    </row>
    <row r="76" spans="1:8" x14ac:dyDescent="0.4">
      <c r="A76" s="5" t="s">
        <v>200</v>
      </c>
      <c r="B76" s="5" t="s">
        <v>188</v>
      </c>
      <c r="C76" s="5" t="str">
        <f>VLOOKUP(B76,Estados!A:B,2,0)</f>
        <v>Goiás</v>
      </c>
      <c r="D76" s="5" t="s">
        <v>201</v>
      </c>
      <c r="E76" s="5" t="s">
        <v>41</v>
      </c>
      <c r="F76" s="4">
        <v>5</v>
      </c>
      <c r="G76" s="4">
        <v>40</v>
      </c>
      <c r="H76" s="4">
        <v>0.125</v>
      </c>
    </row>
    <row r="77" spans="1:8" x14ac:dyDescent="0.4">
      <c r="A77" s="5" t="s">
        <v>202</v>
      </c>
      <c r="B77" s="5" t="s">
        <v>188</v>
      </c>
      <c r="C77" s="5" t="str">
        <f>VLOOKUP(B77,Estados!A:B,2,0)</f>
        <v>Goiás</v>
      </c>
      <c r="D77" s="5" t="s">
        <v>203</v>
      </c>
      <c r="E77" s="5" t="s">
        <v>44</v>
      </c>
      <c r="F77" s="4">
        <v>24</v>
      </c>
      <c r="G77" s="4">
        <v>40</v>
      </c>
      <c r="H77" s="4">
        <v>0.6</v>
      </c>
    </row>
    <row r="78" spans="1:8" x14ac:dyDescent="0.4">
      <c r="A78" s="5" t="s">
        <v>204</v>
      </c>
      <c r="B78" s="5" t="s">
        <v>188</v>
      </c>
      <c r="C78" s="5" t="str">
        <f>VLOOKUP(B78,Estados!A:B,2,0)</f>
        <v>Goiás</v>
      </c>
      <c r="D78" s="5" t="s">
        <v>205</v>
      </c>
      <c r="E78" s="5" t="s">
        <v>48</v>
      </c>
      <c r="F78" s="4">
        <v>3</v>
      </c>
      <c r="G78" s="4">
        <v>40</v>
      </c>
      <c r="H78" s="4">
        <v>7.4999999999999997E-2</v>
      </c>
    </row>
    <row r="79" spans="1:8" x14ac:dyDescent="0.4">
      <c r="A79" s="5" t="s">
        <v>206</v>
      </c>
      <c r="B79" s="5" t="s">
        <v>188</v>
      </c>
      <c r="C79" s="5" t="str">
        <f>VLOOKUP(B79,Estados!A:B,2,0)</f>
        <v>Goiás</v>
      </c>
      <c r="D79" s="5" t="s">
        <v>207</v>
      </c>
      <c r="E79" s="5" t="s">
        <v>51</v>
      </c>
      <c r="F79" s="4">
        <v>3</v>
      </c>
      <c r="G79" s="4">
        <v>40</v>
      </c>
      <c r="H79" s="4">
        <v>7.4999999999999997E-2</v>
      </c>
    </row>
    <row r="80" spans="1:8" x14ac:dyDescent="0.4">
      <c r="A80" s="5" t="s">
        <v>208</v>
      </c>
      <c r="B80" s="5" t="s">
        <v>188</v>
      </c>
      <c r="C80" s="5" t="str">
        <f>VLOOKUP(B80,Estados!A:B,2,0)</f>
        <v>Goiás</v>
      </c>
      <c r="D80" s="5" t="s">
        <v>209</v>
      </c>
      <c r="E80" s="5" t="s">
        <v>54</v>
      </c>
      <c r="F80" s="4">
        <v>24</v>
      </c>
      <c r="G80" s="4">
        <v>40</v>
      </c>
      <c r="H80" s="4">
        <v>0.6</v>
      </c>
    </row>
    <row r="81" spans="1:8" x14ac:dyDescent="0.4">
      <c r="A81" s="5" t="s">
        <v>210</v>
      </c>
      <c r="B81" s="5" t="s">
        <v>211</v>
      </c>
      <c r="C81" s="5" t="str">
        <f>VLOOKUP(B81,Estados!A:B,2,0)</f>
        <v>Distrito Federal</v>
      </c>
      <c r="D81" s="5" t="s">
        <v>212</v>
      </c>
      <c r="E81" s="5" t="s">
        <v>57</v>
      </c>
      <c r="F81" s="4">
        <v>4</v>
      </c>
      <c r="G81" s="4">
        <v>40</v>
      </c>
      <c r="H81" s="4">
        <v>0.1</v>
      </c>
    </row>
    <row r="82" spans="1:8" x14ac:dyDescent="0.4">
      <c r="A82" s="5" t="s">
        <v>213</v>
      </c>
      <c r="B82" s="5" t="s">
        <v>211</v>
      </c>
      <c r="C82" s="5" t="str">
        <f>VLOOKUP(B82,Estados!A:B,2,0)</f>
        <v>Distrito Federal</v>
      </c>
      <c r="D82" s="5" t="s">
        <v>212</v>
      </c>
      <c r="E82" s="5" t="s">
        <v>60</v>
      </c>
      <c r="F82" s="4">
        <v>16</v>
      </c>
      <c r="G82" s="4">
        <v>40</v>
      </c>
      <c r="H82" s="4">
        <v>0.4</v>
      </c>
    </row>
    <row r="83" spans="1:8" x14ac:dyDescent="0.4">
      <c r="A83" s="5" t="s">
        <v>214</v>
      </c>
      <c r="B83" s="5" t="s">
        <v>211</v>
      </c>
      <c r="C83" s="5" t="str">
        <f>VLOOKUP(B83,Estados!A:B,2,0)</f>
        <v>Distrito Federal</v>
      </c>
      <c r="D83" s="5" t="s">
        <v>212</v>
      </c>
      <c r="E83" s="5" t="s">
        <v>63</v>
      </c>
      <c r="F83" s="4">
        <v>8</v>
      </c>
      <c r="G83" s="4">
        <v>40</v>
      </c>
      <c r="H83" s="4">
        <v>0.2</v>
      </c>
    </row>
    <row r="84" spans="1:8" x14ac:dyDescent="0.4">
      <c r="A84" s="5" t="s">
        <v>215</v>
      </c>
      <c r="B84" s="5" t="s">
        <v>211</v>
      </c>
      <c r="C84" s="5" t="str">
        <f>VLOOKUP(B84,Estados!A:B,2,0)</f>
        <v>Distrito Federal</v>
      </c>
      <c r="D84" s="5" t="s">
        <v>212</v>
      </c>
      <c r="E84" s="5" t="s">
        <v>66</v>
      </c>
      <c r="F84" s="4">
        <v>8</v>
      </c>
      <c r="G84" s="4">
        <v>40</v>
      </c>
      <c r="H84" s="4">
        <v>0.2</v>
      </c>
    </row>
    <row r="85" spans="1:8" x14ac:dyDescent="0.4">
      <c r="A85" s="5" t="s">
        <v>216</v>
      </c>
      <c r="B85" s="5" t="s">
        <v>211</v>
      </c>
      <c r="C85" s="5" t="str">
        <f>VLOOKUP(B85,Estados!A:B,2,0)</f>
        <v>Distrito Federal</v>
      </c>
      <c r="D85" s="5" t="s">
        <v>212</v>
      </c>
      <c r="E85" s="5" t="s">
        <v>69</v>
      </c>
      <c r="F85" s="4">
        <v>8</v>
      </c>
      <c r="G85" s="4">
        <v>40</v>
      </c>
      <c r="H85" s="4">
        <v>0.2</v>
      </c>
    </row>
    <row r="86" spans="1:8" x14ac:dyDescent="0.4">
      <c r="A86" s="5" t="s">
        <v>217</v>
      </c>
      <c r="B86" s="5" t="s">
        <v>211</v>
      </c>
      <c r="C86" s="5" t="str">
        <f>VLOOKUP(B86,Estados!A:B,2,0)</f>
        <v>Distrito Federal</v>
      </c>
      <c r="D86" s="5" t="s">
        <v>212</v>
      </c>
      <c r="E86" s="5" t="s">
        <v>72</v>
      </c>
      <c r="F86" s="4">
        <v>8</v>
      </c>
      <c r="G86" s="4">
        <v>40</v>
      </c>
      <c r="H86" s="4">
        <v>0.2</v>
      </c>
    </row>
    <row r="87" spans="1:8" x14ac:dyDescent="0.4">
      <c r="A87" s="5" t="s">
        <v>218</v>
      </c>
      <c r="B87" s="5" t="s">
        <v>211</v>
      </c>
      <c r="C87" s="5" t="str">
        <f>VLOOKUP(B87,Estados!A:B,2,0)</f>
        <v>Distrito Federal</v>
      </c>
      <c r="D87" s="5" t="s">
        <v>212</v>
      </c>
      <c r="E87" s="5" t="s">
        <v>75</v>
      </c>
      <c r="F87" s="4">
        <v>8</v>
      </c>
      <c r="G87" s="4">
        <v>40</v>
      </c>
      <c r="H87" s="4">
        <v>0.2</v>
      </c>
    </row>
    <row r="88" spans="1:8" x14ac:dyDescent="0.4">
      <c r="A88" s="5" t="s">
        <v>219</v>
      </c>
      <c r="B88" s="5" t="s">
        <v>211</v>
      </c>
      <c r="C88" s="5" t="str">
        <f>VLOOKUP(B88,Estados!A:B,2,0)</f>
        <v>Distrito Federal</v>
      </c>
      <c r="D88" s="5" t="s">
        <v>212</v>
      </c>
      <c r="E88" s="5" t="s">
        <v>78</v>
      </c>
      <c r="F88" s="4">
        <v>40</v>
      </c>
      <c r="G88" s="4">
        <v>40</v>
      </c>
      <c r="H88" s="4">
        <v>1</v>
      </c>
    </row>
    <row r="89" spans="1:8" x14ac:dyDescent="0.4">
      <c r="A89" s="5" t="s">
        <v>220</v>
      </c>
      <c r="B89" s="5" t="s">
        <v>211</v>
      </c>
      <c r="C89" s="5" t="str">
        <f>VLOOKUP(B89,Estados!A:B,2,0)</f>
        <v>Distrito Federal</v>
      </c>
      <c r="D89" s="5" t="s">
        <v>212</v>
      </c>
      <c r="E89" s="5" t="s">
        <v>81</v>
      </c>
      <c r="F89" s="4">
        <v>40</v>
      </c>
      <c r="G89" s="4">
        <v>40</v>
      </c>
      <c r="H89" s="4">
        <v>1</v>
      </c>
    </row>
    <row r="90" spans="1:8" x14ac:dyDescent="0.4">
      <c r="A90" s="5" t="s">
        <v>221</v>
      </c>
      <c r="B90" s="5" t="s">
        <v>211</v>
      </c>
      <c r="C90" s="5" t="str">
        <f>VLOOKUP(B90,Estados!A:B,2,0)</f>
        <v>Distrito Federal</v>
      </c>
      <c r="D90" s="5" t="s">
        <v>212</v>
      </c>
      <c r="E90" s="5" t="s">
        <v>84</v>
      </c>
      <c r="F90" s="4">
        <v>40</v>
      </c>
      <c r="G90" s="4">
        <v>40</v>
      </c>
      <c r="H90" s="4">
        <v>1</v>
      </c>
    </row>
    <row r="91" spans="1:8" x14ac:dyDescent="0.4">
      <c r="A91" s="5" t="s">
        <v>222</v>
      </c>
      <c r="B91" s="5" t="s">
        <v>211</v>
      </c>
      <c r="C91" s="5" t="str">
        <f>VLOOKUP(B91,Estados!A:B,2,0)</f>
        <v>Distrito Federal</v>
      </c>
      <c r="D91" s="5" t="s">
        <v>212</v>
      </c>
      <c r="E91" s="5" t="s">
        <v>87</v>
      </c>
      <c r="F91" s="4">
        <v>4</v>
      </c>
      <c r="G91" s="4">
        <v>40</v>
      </c>
      <c r="H91" s="4">
        <v>0.1</v>
      </c>
    </row>
    <row r="92" spans="1:8" x14ac:dyDescent="0.4">
      <c r="A92" s="5" t="s">
        <v>223</v>
      </c>
      <c r="B92" s="5" t="s">
        <v>211</v>
      </c>
      <c r="C92" s="5" t="str">
        <f>VLOOKUP(B92,Estados!A:B,2,0)</f>
        <v>Distrito Federal</v>
      </c>
      <c r="D92" s="5" t="s">
        <v>212</v>
      </c>
      <c r="E92" s="5" t="s">
        <v>90</v>
      </c>
      <c r="F92" s="4">
        <v>1</v>
      </c>
      <c r="G92" s="4">
        <v>40</v>
      </c>
      <c r="H92" s="4">
        <v>2.5000000000000001E-2</v>
      </c>
    </row>
    <row r="93" spans="1:8" x14ac:dyDescent="0.4">
      <c r="A93" s="5" t="s">
        <v>224</v>
      </c>
      <c r="B93" s="5" t="s">
        <v>211</v>
      </c>
      <c r="C93" s="5" t="str">
        <f>VLOOKUP(B93,Estados!A:B,2,0)</f>
        <v>Distrito Federal</v>
      </c>
      <c r="D93" s="5" t="s">
        <v>212</v>
      </c>
      <c r="E93" s="5" t="s">
        <v>93</v>
      </c>
      <c r="F93" s="4">
        <v>28.5</v>
      </c>
      <c r="G93" s="4">
        <v>40</v>
      </c>
      <c r="H93" s="4">
        <v>0.71250000000000002</v>
      </c>
    </row>
    <row r="94" spans="1:8" x14ac:dyDescent="0.4">
      <c r="A94" s="5" t="s">
        <v>225</v>
      </c>
      <c r="B94" s="5" t="s">
        <v>211</v>
      </c>
      <c r="C94" s="5" t="str">
        <f>VLOOKUP(B94,Estados!A:B,2,0)</f>
        <v>Distrito Federal</v>
      </c>
      <c r="D94" s="5" t="s">
        <v>212</v>
      </c>
      <c r="E94" s="5" t="s">
        <v>96</v>
      </c>
      <c r="F94" s="4">
        <v>8</v>
      </c>
      <c r="G94" s="4">
        <v>40</v>
      </c>
      <c r="H94" s="4">
        <v>0.2</v>
      </c>
    </row>
    <row r="95" spans="1:8" x14ac:dyDescent="0.4">
      <c r="A95" s="5" t="s">
        <v>226</v>
      </c>
      <c r="B95" s="5" t="s">
        <v>211</v>
      </c>
      <c r="C95" s="5" t="str">
        <f>VLOOKUP(B95,Estados!A:B,2,0)</f>
        <v>Distrito Federal</v>
      </c>
      <c r="D95" s="5" t="s">
        <v>212</v>
      </c>
      <c r="E95" s="5" t="s">
        <v>99</v>
      </c>
      <c r="F95" s="4">
        <v>4</v>
      </c>
      <c r="G95" s="4">
        <v>40</v>
      </c>
      <c r="H95" s="4">
        <v>0.1</v>
      </c>
    </row>
    <row r="96" spans="1:8" x14ac:dyDescent="0.4">
      <c r="A96" s="5" t="s">
        <v>227</v>
      </c>
      <c r="B96" s="5" t="s">
        <v>211</v>
      </c>
      <c r="C96" s="5" t="str">
        <f>VLOOKUP(B96,Estados!A:B,2,0)</f>
        <v>Distrito Federal</v>
      </c>
      <c r="D96" s="5" t="s">
        <v>212</v>
      </c>
      <c r="E96" s="5" t="s">
        <v>102</v>
      </c>
      <c r="F96" s="4">
        <v>4</v>
      </c>
      <c r="G96" s="4">
        <v>40</v>
      </c>
      <c r="H96" s="4">
        <v>0.1</v>
      </c>
    </row>
    <row r="97" spans="1:8" x14ac:dyDescent="0.4">
      <c r="A97" s="5" t="s">
        <v>228</v>
      </c>
      <c r="B97" s="5" t="s">
        <v>211</v>
      </c>
      <c r="C97" s="5" t="str">
        <f>VLOOKUP(B97,Estados!A:B,2,0)</f>
        <v>Distrito Federal</v>
      </c>
      <c r="D97" s="5" t="s">
        <v>212</v>
      </c>
      <c r="E97" s="5" t="s">
        <v>106</v>
      </c>
      <c r="F97" s="4">
        <v>22</v>
      </c>
      <c r="G97" s="4">
        <v>40</v>
      </c>
      <c r="H97" s="4">
        <v>0.55000000000000004</v>
      </c>
    </row>
    <row r="98" spans="1:8" x14ac:dyDescent="0.4">
      <c r="A98" s="5" t="s">
        <v>229</v>
      </c>
      <c r="B98" s="5" t="s">
        <v>211</v>
      </c>
      <c r="C98" s="5" t="str">
        <f>VLOOKUP(B98,Estados!A:B,2,0)</f>
        <v>Distrito Federal</v>
      </c>
      <c r="D98" s="5" t="s">
        <v>212</v>
      </c>
      <c r="E98" s="5" t="s">
        <v>10</v>
      </c>
      <c r="F98" s="4">
        <v>32</v>
      </c>
      <c r="G98" s="4">
        <v>40</v>
      </c>
      <c r="H98" s="4">
        <v>0.8</v>
      </c>
    </row>
    <row r="99" spans="1:8" x14ac:dyDescent="0.4">
      <c r="A99" s="5" t="s">
        <v>230</v>
      </c>
      <c r="B99" s="5" t="s">
        <v>211</v>
      </c>
      <c r="C99" s="5" t="str">
        <f>VLOOKUP(B99,Estados!A:B,2,0)</f>
        <v>Distrito Federal</v>
      </c>
      <c r="D99" s="5" t="s">
        <v>212</v>
      </c>
      <c r="E99" s="5" t="s">
        <v>13</v>
      </c>
      <c r="F99" s="4">
        <v>40</v>
      </c>
      <c r="G99" s="4">
        <v>40</v>
      </c>
      <c r="H99" s="4">
        <v>1</v>
      </c>
    </row>
    <row r="100" spans="1:8" x14ac:dyDescent="0.4">
      <c r="A100" s="5" t="s">
        <v>231</v>
      </c>
      <c r="B100" s="5" t="s">
        <v>211</v>
      </c>
      <c r="C100" s="5" t="str">
        <f>VLOOKUP(B100,Estados!A:B,2,0)</f>
        <v>Distrito Federal</v>
      </c>
      <c r="D100" s="5" t="s">
        <v>212</v>
      </c>
      <c r="E100" s="5" t="s">
        <v>16</v>
      </c>
      <c r="F100" s="4">
        <v>40</v>
      </c>
      <c r="G100" s="4">
        <v>40</v>
      </c>
      <c r="H100" s="4">
        <v>1</v>
      </c>
    </row>
    <row r="101" spans="1:8" x14ac:dyDescent="0.4">
      <c r="A101" s="5" t="s">
        <v>232</v>
      </c>
      <c r="B101" s="5" t="s">
        <v>211</v>
      </c>
      <c r="C101" s="5" t="str">
        <f>VLOOKUP(B101,Estados!A:B,2,0)</f>
        <v>Distrito Federal</v>
      </c>
      <c r="D101" s="5" t="s">
        <v>212</v>
      </c>
      <c r="E101" s="5" t="s">
        <v>19</v>
      </c>
      <c r="F101" s="4">
        <v>40</v>
      </c>
      <c r="G101" s="4">
        <v>40</v>
      </c>
      <c r="H101" s="4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Estados</vt:lpstr>
      <vt:lpstr>Dados</vt:lpstr>
      <vt:lpstr>Principal</vt:lpstr>
      <vt:lpstr>Relatório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2025-03-17T21:47:12Z</dcterms:created>
  <dcterms:modified xsi:type="dcterms:W3CDTF">2025-03-17T22:46:06Z</dcterms:modified>
</cp:coreProperties>
</file>