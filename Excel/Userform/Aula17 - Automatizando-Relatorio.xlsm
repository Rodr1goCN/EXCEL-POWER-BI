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9419F6E-A830-4A4B-BBD1-C767DD581F87}" xr6:coauthVersionLast="47" xr6:coauthVersionMax="47" xr10:uidLastSave="{00000000-0000-0000-0000-000000000000}"/>
  <bookViews>
    <workbookView xWindow="-86" yWindow="0" windowWidth="16629" windowHeight="17880" activeTab="3" xr2:uid="{09E5D34C-16C4-42E3-B670-7AD0626A0C00}"/>
  </bookViews>
  <sheets>
    <sheet name="Estados" sheetId="3" r:id="rId1"/>
    <sheet name="Dados" sheetId="2" r:id="rId2"/>
    <sheet name="Principal" sheetId="1" r:id="rId3"/>
    <sheet name="Relatório" sheetId="4" r:id="rId4"/>
  </sheets>
  <definedNames>
    <definedName name="_xlnm._FilterDatabase" localSheetId="3" hidden="1">Relatório!$A$9:$S$9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3" i="4" l="1"/>
  <c r="F123" i="4"/>
  <c r="E123" i="4"/>
  <c r="G101" i="4"/>
  <c r="F101" i="4"/>
  <c r="E101" i="4"/>
  <c r="G89" i="4"/>
  <c r="F89" i="4"/>
  <c r="E89" i="4"/>
  <c r="G84" i="4"/>
  <c r="F84" i="4"/>
  <c r="E84" i="4"/>
  <c r="G80" i="4"/>
  <c r="F80" i="4"/>
  <c r="E80" i="4"/>
  <c r="G72" i="4"/>
  <c r="F72" i="4"/>
  <c r="E72" i="4"/>
  <c r="G68" i="4"/>
  <c r="F68" i="4"/>
  <c r="E68" i="4"/>
  <c r="G63" i="4"/>
  <c r="F63" i="4"/>
  <c r="E63" i="4"/>
  <c r="G57" i="4"/>
  <c r="F57" i="4"/>
  <c r="E57" i="4"/>
  <c r="G51" i="4"/>
  <c r="F51" i="4"/>
  <c r="E51" i="4"/>
  <c r="G47" i="4"/>
  <c r="F47" i="4"/>
  <c r="E47" i="4"/>
  <c r="G43" i="4"/>
  <c r="F43" i="4"/>
  <c r="E43" i="4"/>
  <c r="G23" i="4"/>
  <c r="F23" i="4"/>
  <c r="E23" i="4"/>
  <c r="G18" i="4"/>
  <c r="F18" i="4"/>
  <c r="E18" i="4"/>
  <c r="G124" i="4" l="1"/>
  <c r="F124" i="4"/>
  <c r="E124" i="4"/>
</calcChain>
</file>

<file path=xl/sharedStrings.xml><?xml version="1.0" encoding="utf-8"?>
<sst xmlns="http://schemas.openxmlformats.org/spreadsheetml/2006/main" count="683" uniqueCount="289">
  <si>
    <t>Nome</t>
  </si>
  <si>
    <t>Sigla</t>
  </si>
  <si>
    <t>Municipio</t>
  </si>
  <si>
    <t>Profissão</t>
  </si>
  <si>
    <t>Horas trabalhadas</t>
  </si>
  <si>
    <t>Horas Semanais</t>
  </si>
  <si>
    <t>% Trabalhado</t>
  </si>
  <si>
    <t>Alice</t>
  </si>
  <si>
    <t>RO</t>
  </si>
  <si>
    <t>São Miguel do Guaporé</t>
  </si>
  <si>
    <t>Administrador</t>
  </si>
  <si>
    <t>Sophia</t>
  </si>
  <si>
    <t>Seringueiras</t>
  </si>
  <si>
    <t>Administrador público</t>
  </si>
  <si>
    <t>Helena</t>
  </si>
  <si>
    <t>Teixeirópolis</t>
  </si>
  <si>
    <t>Agropecuarista</t>
  </si>
  <si>
    <t>Valentina</t>
  </si>
  <si>
    <t>Theobroma</t>
  </si>
  <si>
    <t>Contabilista</t>
  </si>
  <si>
    <t>Danilo</t>
  </si>
  <si>
    <t>Urupá</t>
  </si>
  <si>
    <t>Economista</t>
  </si>
  <si>
    <t>Anthony Gabriel</t>
  </si>
  <si>
    <t>Vale do Anari</t>
  </si>
  <si>
    <t>Especialista em comércio exterior</t>
  </si>
  <si>
    <t>Ruan</t>
  </si>
  <si>
    <t>Vale do Paraíso</t>
  </si>
  <si>
    <t>Gerente comercial</t>
  </si>
  <si>
    <t>Miguel Henrique</t>
  </si>
  <si>
    <t>Vilhena</t>
  </si>
  <si>
    <t>Gestor de recursos humanos</t>
  </si>
  <si>
    <t>Oliver</t>
  </si>
  <si>
    <t>AC</t>
  </si>
  <si>
    <t>Acrelândia</t>
  </si>
  <si>
    <t>Gestor de turismo</t>
  </si>
  <si>
    <t>Luiza</t>
  </si>
  <si>
    <t>Assis Brasil</t>
  </si>
  <si>
    <t>Gestor público</t>
  </si>
  <si>
    <t>Maria Luiza</t>
  </si>
  <si>
    <t>Brasiléia</t>
  </si>
  <si>
    <t>Hoteleiro</t>
  </si>
  <si>
    <t>Lorena</t>
  </si>
  <si>
    <t>Bujari</t>
  </si>
  <si>
    <t>Piloto de avião</t>
  </si>
  <si>
    <t>Lívia</t>
  </si>
  <si>
    <t>AM</t>
  </si>
  <si>
    <t>Novo Airão</t>
  </si>
  <si>
    <t>Turismólogo</t>
  </si>
  <si>
    <t>Giovanna</t>
  </si>
  <si>
    <t>Novo Aripuanã</t>
  </si>
  <si>
    <t>Artes e Design</t>
  </si>
  <si>
    <t>Maria Eduarda</t>
  </si>
  <si>
    <t>Parintins</t>
  </si>
  <si>
    <t>Animador</t>
  </si>
  <si>
    <t>Beatriz</t>
  </si>
  <si>
    <t>Pauini</t>
  </si>
  <si>
    <t>Arquiteto</t>
  </si>
  <si>
    <t>Maria Clara</t>
  </si>
  <si>
    <t>Presidente Figueiredo</t>
  </si>
  <si>
    <t>Artista plástico</t>
  </si>
  <si>
    <t>Cecília</t>
  </si>
  <si>
    <t>Rio Preto da Eva</t>
  </si>
  <si>
    <t>Ator</t>
  </si>
  <si>
    <t>Eloá</t>
  </si>
  <si>
    <t>Santa Isabel do Rio Negro</t>
  </si>
  <si>
    <t>Dançarino</t>
  </si>
  <si>
    <t>Miguel</t>
  </si>
  <si>
    <t>Santo Antônio do Içá</t>
  </si>
  <si>
    <t>Fotógrafo</t>
  </si>
  <si>
    <t>Arthur</t>
  </si>
  <si>
    <t>São Gabriel da Cachoeira</t>
  </si>
  <si>
    <t>Historiador da arte</t>
  </si>
  <si>
    <t>Bernardo</t>
  </si>
  <si>
    <t>São Paulo de Olivença</t>
  </si>
  <si>
    <t>Músico</t>
  </si>
  <si>
    <t>Heitor</t>
  </si>
  <si>
    <t>São Sebastião do Uatumã</t>
  </si>
  <si>
    <t>Produtor cênico</t>
  </si>
  <si>
    <t>Davi</t>
  </si>
  <si>
    <t>Silves</t>
  </si>
  <si>
    <t>Produtor fonográfico</t>
  </si>
  <si>
    <t>Ana Júlia</t>
  </si>
  <si>
    <t>Tabatinga</t>
  </si>
  <si>
    <t>Ciências Biológicas e da Terra</t>
  </si>
  <si>
    <t>Ana Luiza</t>
  </si>
  <si>
    <t>Tapauá</t>
  </si>
  <si>
    <t>Agrônomo</t>
  </si>
  <si>
    <t>Ana Clara</t>
  </si>
  <si>
    <t>Tefé</t>
  </si>
  <si>
    <t>Bioquímico</t>
  </si>
  <si>
    <t>Melissa</t>
  </si>
  <si>
    <t>Tonantins</t>
  </si>
  <si>
    <t>Biotecnólogo</t>
  </si>
  <si>
    <t>Yasmin</t>
  </si>
  <si>
    <t>Uarini</t>
  </si>
  <si>
    <t>Ecologista</t>
  </si>
  <si>
    <t>Maria Alice</t>
  </si>
  <si>
    <t>Urucará</t>
  </si>
  <si>
    <t>Geofísico</t>
  </si>
  <si>
    <t>Isabelly</t>
  </si>
  <si>
    <t>Urucurituba</t>
  </si>
  <si>
    <t>Geólogo</t>
  </si>
  <si>
    <t>Lavínia</t>
  </si>
  <si>
    <t>RR</t>
  </si>
  <si>
    <t>Alto Alegre</t>
  </si>
  <si>
    <t>Gestor ambiental</t>
  </si>
  <si>
    <t>Esther</t>
  </si>
  <si>
    <t>Amajari</t>
  </si>
  <si>
    <t>Sarah</t>
  </si>
  <si>
    <t>Uiramutã</t>
  </si>
  <si>
    <t>Elisa</t>
  </si>
  <si>
    <t>PA</t>
  </si>
  <si>
    <t>Abaetetuba</t>
  </si>
  <si>
    <t>Antonella</t>
  </si>
  <si>
    <t>Abel Figueiredo</t>
  </si>
  <si>
    <t>Rafaela</t>
  </si>
  <si>
    <t>Acará</t>
  </si>
  <si>
    <t>Maria Cecília</t>
  </si>
  <si>
    <t>AP</t>
  </si>
  <si>
    <t>Pracuúba</t>
  </si>
  <si>
    <t>Liz</t>
  </si>
  <si>
    <t>Santana</t>
  </si>
  <si>
    <t>Marina</t>
  </si>
  <si>
    <t>Serra do Navio</t>
  </si>
  <si>
    <t>Nicole</t>
  </si>
  <si>
    <t>Tartarugalzinho</t>
  </si>
  <si>
    <t>Maitê</t>
  </si>
  <si>
    <t>Vitória do Jari</t>
  </si>
  <si>
    <t>Isis</t>
  </si>
  <si>
    <t>TO</t>
  </si>
  <si>
    <t>Abreulândia</t>
  </si>
  <si>
    <t>Alícia</t>
  </si>
  <si>
    <t>Aguiarnópolis</t>
  </si>
  <si>
    <t>Luna</t>
  </si>
  <si>
    <t>Aliança do Tocantins</t>
  </si>
  <si>
    <t>Rebeca</t>
  </si>
  <si>
    <t>Almas</t>
  </si>
  <si>
    <t>Agatha</t>
  </si>
  <si>
    <t>Alvorada</t>
  </si>
  <si>
    <t>Letícia</t>
  </si>
  <si>
    <t>MA</t>
  </si>
  <si>
    <t>Jatobá</t>
  </si>
  <si>
    <t>Maria-</t>
  </si>
  <si>
    <t>Jenipapo dos Vieiras</t>
  </si>
  <si>
    <t>Gabriela</t>
  </si>
  <si>
    <t>João Lisboa</t>
  </si>
  <si>
    <t>Ana Laura</t>
  </si>
  <si>
    <t>Joselândia</t>
  </si>
  <si>
    <t>Catarina</t>
  </si>
  <si>
    <t>RJ</t>
  </si>
  <si>
    <t>Varre-Sai</t>
  </si>
  <si>
    <t>Clara</t>
  </si>
  <si>
    <t>Vassouras</t>
  </si>
  <si>
    <t>Ana Beatriz</t>
  </si>
  <si>
    <t>Volta Redonda</t>
  </si>
  <si>
    <t>Vitória</t>
  </si>
  <si>
    <t>SP</t>
  </si>
  <si>
    <t>Adamantina</t>
  </si>
  <si>
    <t>Olívia</t>
  </si>
  <si>
    <t>Adolfo</t>
  </si>
  <si>
    <t>Maria Fernanda</t>
  </si>
  <si>
    <t>Osasco</t>
  </si>
  <si>
    <t>Emilly</t>
  </si>
  <si>
    <t>Oscar Bressane</t>
  </si>
  <si>
    <t>Maria Valentina</t>
  </si>
  <si>
    <t>Osvaldo Cruz</t>
  </si>
  <si>
    <t>Milena</t>
  </si>
  <si>
    <t>Ourinhos</t>
  </si>
  <si>
    <t>Maria Helena</t>
  </si>
  <si>
    <t>Ouro Verde</t>
  </si>
  <si>
    <t>Bianca</t>
  </si>
  <si>
    <t>PR</t>
  </si>
  <si>
    <t>Braganey</t>
  </si>
  <si>
    <t>Larissa</t>
  </si>
  <si>
    <t>Brasilândia do Sul</t>
  </si>
  <si>
    <t>Mirella</t>
  </si>
  <si>
    <t>Cafeara</t>
  </si>
  <si>
    <t>Maria Flor</t>
  </si>
  <si>
    <t>SC</t>
  </si>
  <si>
    <t>Ponte Alta do Norte</t>
  </si>
  <si>
    <t>Allana</t>
  </si>
  <si>
    <t>Ponte Serrada</t>
  </si>
  <si>
    <t>Ana Sophia</t>
  </si>
  <si>
    <t>Santa Cecília</t>
  </si>
  <si>
    <t>Clarice</t>
  </si>
  <si>
    <t>Porto União</t>
  </si>
  <si>
    <t>Pietra</t>
  </si>
  <si>
    <t>GO</t>
  </si>
  <si>
    <t>Turvelândia</t>
  </si>
  <si>
    <t>Maria Vitória</t>
  </si>
  <si>
    <t>Uirapuru</t>
  </si>
  <si>
    <t>Maya</t>
  </si>
  <si>
    <t>Uruaçu</t>
  </si>
  <si>
    <t>Laís</t>
  </si>
  <si>
    <t>Uruana</t>
  </si>
  <si>
    <t>Ayla</t>
  </si>
  <si>
    <t>Urutaí</t>
  </si>
  <si>
    <t>Ana Lívia</t>
  </si>
  <si>
    <t>Valparaíso de Goiás</t>
  </si>
  <si>
    <t>Eduarda</t>
  </si>
  <si>
    <t>Varjão</t>
  </si>
  <si>
    <t>Mariah</t>
  </si>
  <si>
    <t>Vianópolis</t>
  </si>
  <si>
    <t>Stella</t>
  </si>
  <si>
    <t>Vicentinópolis</t>
  </si>
  <si>
    <t>Ana</t>
  </si>
  <si>
    <t>Vila Boa</t>
  </si>
  <si>
    <t>Gabrielly</t>
  </si>
  <si>
    <t>Vila Propício</t>
  </si>
  <si>
    <t>Sophie</t>
  </si>
  <si>
    <t>DF</t>
  </si>
  <si>
    <t>Brasília</t>
  </si>
  <si>
    <t>Carolina</t>
  </si>
  <si>
    <t>Maria Laura</t>
  </si>
  <si>
    <t>Maria Heloísa</t>
  </si>
  <si>
    <t>Maria Sophia</t>
  </si>
  <si>
    <t>Fernanda</t>
  </si>
  <si>
    <t>Malu</t>
  </si>
  <si>
    <t>Enzo</t>
  </si>
  <si>
    <t>Matheus</t>
  </si>
  <si>
    <t>Lucas</t>
  </si>
  <si>
    <t>Benjamin</t>
  </si>
  <si>
    <t>Nicolas</t>
  </si>
  <si>
    <t>Guilherme</t>
  </si>
  <si>
    <t>Rafael</t>
  </si>
  <si>
    <t>Joaquim</t>
  </si>
  <si>
    <t>Samuel</t>
  </si>
  <si>
    <t>Enzo Gabriel</t>
  </si>
  <si>
    <t>João Miguel</t>
  </si>
  <si>
    <t>Henrique</t>
  </si>
  <si>
    <t>Isabel</t>
  </si>
  <si>
    <t>Bruna</t>
  </si>
  <si>
    <t>Estado</t>
  </si>
  <si>
    <t>Acre</t>
  </si>
  <si>
    <t>AL</t>
  </si>
  <si>
    <t>Alagoas</t>
  </si>
  <si>
    <t>Amapá</t>
  </si>
  <si>
    <t>Amazonas</t>
  </si>
  <si>
    <t>BA</t>
  </si>
  <si>
    <t>Bahia</t>
  </si>
  <si>
    <t>CE</t>
  </si>
  <si>
    <t>Ceará</t>
  </si>
  <si>
    <t>Distrito Federal</t>
  </si>
  <si>
    <t>ES</t>
  </si>
  <si>
    <t>Espírito Santo</t>
  </si>
  <si>
    <t>Goiás</t>
  </si>
  <si>
    <t>Maranhão</t>
  </si>
  <si>
    <t>MT</t>
  </si>
  <si>
    <t>Mato Grosso</t>
  </si>
  <si>
    <t>MS</t>
  </si>
  <si>
    <t>Mato Grosso do Sul</t>
  </si>
  <si>
    <t>MG</t>
  </si>
  <si>
    <t>Minas Gerais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</si>
  <si>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</si>
  <si>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</si>
  <si>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</si>
  <si>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</si>
  <si>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</si>
  <si>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</si>
  <si>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</si>
  <si>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</si>
  <si>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Rio de Janeiro</t>
  </si>
  <si>
    <t>RN</t>
  </si>
  <si>
    <t>Rio Grande do Norte</t>
  </si>
  <si>
    <t>RS</t>
  </si>
  <si>
    <t>Rio Grande do Sul</t>
  </si>
  <si>
    <t>Rondônia</t>
  </si>
  <si>
    <t>Roraima</t>
  </si>
  <si>
    <t>Santa Catarina</t>
  </si>
  <si>
    <t>São Paulo</t>
  </si>
  <si>
    <t>SE</t>
  </si>
  <si>
    <t>Sergipe</t>
  </si>
  <si>
    <t>Tocantins</t>
  </si>
  <si>
    <t>Acre Total</t>
  </si>
  <si>
    <t>Amapá Total</t>
  </si>
  <si>
    <t>Amazonas Total</t>
  </si>
  <si>
    <t>Distrito Federal Total</t>
  </si>
  <si>
    <t>Goiás Total</t>
  </si>
  <si>
    <t>Maranhão Total</t>
  </si>
  <si>
    <t>Pará Total</t>
  </si>
  <si>
    <t>Paraná Total</t>
  </si>
  <si>
    <t>Rio de Janeiro Total</t>
  </si>
  <si>
    <t>Rondônia Total</t>
  </si>
  <si>
    <t>Roraima Total</t>
  </si>
  <si>
    <t>Santa Catarina Total</t>
  </si>
  <si>
    <t>São Paulo Total</t>
  </si>
  <si>
    <t>Tocantins Total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</si>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</sst>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3" fillId="4" borderId="1" xfId="0" applyFont="1" applyFill="1" applyBorder="1"/>
    <xf numFmtId="0" fontId="0" fillId="4" borderId="0" xfId="0" applyFill="1" applyBorder="1"/>
    <xf numFmtId="0" fontId="0" fillId="4" borderId="0" xfId="0" applyFill="1" applyBorder="1" applyAlignment="1">
      <alignment horizontal="center" vertical="center"/>
    </xf>
    <xf numFmtId="0" fontId="3" fillId="4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206829</xdr:colOff>
          <xdr:row>2</xdr:row>
          <xdr:rowOff>141514</xdr:rowOff>
        </xdr:from>
        <xdr:to>
          <xdr:col>10</xdr:col>
          <xdr:colOff>152400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Formatar Relatório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29AE-9957-43CF-9EB2-0E1319A8D0E8}">
  <sheetPr codeName="Planilha3"/>
  <dimension ref="A1:B28"/>
  <sheetViews>
    <sheetView workbookViewId="0">
      <selection activeCell="G11" sqref="G11"/>
    </sheetView>
  </sheetViews>
  <sheetFormatPr defaultRowHeight="14.6" x14ac:dyDescent="0.4"/>
  <cols>
    <col min="1" max="1" width="9.15234375" style="5" customWidth="1"/>
    <col min="2" max="2" width="17.15234375" style="3" bestFit="1" customWidth="1"/>
  </cols>
  <sheetData>
    <row r="1" spans="1:2" x14ac:dyDescent="0.4">
      <c r="A1" s="4" t="s">
        <v>1</v>
      </c>
      <c r="B1" s="4" t="s">
        <v>233</v>
      </c>
    </row>
    <row r="2" spans="1:2" x14ac:dyDescent="0.4">
      <c r="A2" s="5" t="s">
        <v>33</v>
      </c>
      <c r="B2" s="3" t="s">
        <v>234</v>
      </c>
    </row>
    <row r="3" spans="1:2" x14ac:dyDescent="0.4">
      <c r="A3" s="5" t="s">
        <v>235</v>
      </c>
      <c r="B3" s="3" t="s">
        <v>236</v>
      </c>
    </row>
    <row r="4" spans="1:2" x14ac:dyDescent="0.4">
      <c r="A4" s="5" t="s">
        <v>119</v>
      </c>
      <c r="B4" s="3" t="s">
        <v>237</v>
      </c>
    </row>
    <row r="5" spans="1:2" x14ac:dyDescent="0.4">
      <c r="A5" s="5" t="s">
        <v>46</v>
      </c>
      <c r="B5" s="3" t="s">
        <v>238</v>
      </c>
    </row>
    <row r="6" spans="1:2" x14ac:dyDescent="0.4">
      <c r="A6" s="5" t="s">
        <v>239</v>
      </c>
      <c r="B6" s="3" t="s">
        <v>240</v>
      </c>
    </row>
    <row r="7" spans="1:2" x14ac:dyDescent="0.4">
      <c r="A7" s="5" t="s">
        <v>241</v>
      </c>
      <c r="B7" s="3" t="s">
        <v>242</v>
      </c>
    </row>
    <row r="8" spans="1:2" x14ac:dyDescent="0.4">
      <c r="A8" s="5" t="s">
        <v>211</v>
      </c>
      <c r="B8" s="3" t="s">
        <v>243</v>
      </c>
    </row>
    <row r="9" spans="1:2" x14ac:dyDescent="0.4">
      <c r="A9" s="5" t="s">
        <v>244</v>
      </c>
      <c r="B9" s="3" t="s">
        <v>245</v>
      </c>
    </row>
    <row r="10" spans="1:2" x14ac:dyDescent="0.4">
      <c r="A10" s="5" t="s">
        <v>188</v>
      </c>
      <c r="B10" s="3" t="s">
        <v>246</v>
      </c>
    </row>
    <row r="11" spans="1:2" x14ac:dyDescent="0.4">
      <c r="A11" s="5" t="s">
        <v>141</v>
      </c>
      <c r="B11" s="3" t="s">
        <v>247</v>
      </c>
    </row>
    <row r="12" spans="1:2" x14ac:dyDescent="0.4">
      <c r="A12" s="5" t="s">
        <v>248</v>
      </c>
      <c r="B12" s="3" t="s">
        <v>249</v>
      </c>
    </row>
    <row r="13" spans="1:2" x14ac:dyDescent="0.4">
      <c r="A13" s="5" t="s">
        <v>250</v>
      </c>
      <c r="B13" s="3" t="s">
        <v>251</v>
      </c>
    </row>
    <row r="14" spans="1:2" x14ac:dyDescent="0.4">
      <c r="A14" s="5" t="s">
        <v>252</v>
      </c>
      <c r="B14" s="3" t="s">
        <v>253</v>
      </c>
    </row>
    <row r="15" spans="1:2" x14ac:dyDescent="0.4">
      <c r="A15" s="5" t="s">
        <v>112</v>
      </c>
      <c r="B15" s="3" t="s">
        <v>254</v>
      </c>
    </row>
    <row r="16" spans="1:2" x14ac:dyDescent="0.4">
      <c r="A16" s="5" t="s">
        <v>255</v>
      </c>
      <c r="B16" s="3" t="s">
        <v>256</v>
      </c>
    </row>
    <row r="17" spans="1:2" x14ac:dyDescent="0.4">
      <c r="A17" s="5" t="s">
        <v>172</v>
      </c>
      <c r="B17" s="3" t="s">
        <v>257</v>
      </c>
    </row>
    <row r="18" spans="1:2" x14ac:dyDescent="0.4">
      <c r="A18" s="5" t="s">
        <v>258</v>
      </c>
      <c r="B18" s="3" t="s">
        <v>259</v>
      </c>
    </row>
    <row r="19" spans="1:2" x14ac:dyDescent="0.4">
      <c r="A19" s="5" t="s">
        <v>260</v>
      </c>
      <c r="B19" s="3" t="s">
        <v>261</v>
      </c>
    </row>
    <row r="20" spans="1:2" x14ac:dyDescent="0.4">
      <c r="A20" s="5" t="s">
        <v>150</v>
      </c>
      <c r="B20" s="3" t="s">
        <v>262</v>
      </c>
    </row>
    <row r="21" spans="1:2" x14ac:dyDescent="0.4">
      <c r="A21" s="5" t="s">
        <v>263</v>
      </c>
      <c r="B21" s="3" t="s">
        <v>264</v>
      </c>
    </row>
    <row r="22" spans="1:2" x14ac:dyDescent="0.4">
      <c r="A22" s="5" t="s">
        <v>265</v>
      </c>
      <c r="B22" s="3" t="s">
        <v>266</v>
      </c>
    </row>
    <row r="23" spans="1:2" x14ac:dyDescent="0.4">
      <c r="A23" s="5" t="s">
        <v>8</v>
      </c>
      <c r="B23" s="3" t="s">
        <v>267</v>
      </c>
    </row>
    <row r="24" spans="1:2" x14ac:dyDescent="0.4">
      <c r="A24" s="5" t="s">
        <v>104</v>
      </c>
      <c r="B24" s="3" t="s">
        <v>268</v>
      </c>
    </row>
    <row r="25" spans="1:2" x14ac:dyDescent="0.4">
      <c r="A25" s="5" t="s">
        <v>179</v>
      </c>
      <c r="B25" s="3" t="s">
        <v>269</v>
      </c>
    </row>
    <row r="26" spans="1:2" x14ac:dyDescent="0.4">
      <c r="A26" s="5" t="s">
        <v>157</v>
      </c>
      <c r="B26" s="3" t="s">
        <v>270</v>
      </c>
    </row>
    <row r="27" spans="1:2" x14ac:dyDescent="0.4">
      <c r="A27" s="5" t="s">
        <v>271</v>
      </c>
      <c r="B27" s="3" t="s">
        <v>272</v>
      </c>
    </row>
    <row r="28" spans="1:2" x14ac:dyDescent="0.4">
      <c r="A28" s="5" t="s">
        <v>130</v>
      </c>
      <c r="B28" s="3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7758F-2C58-4C53-B12B-37F9833DA227}">
  <sheetPr codeName="Planilha2"/>
  <dimension ref="A1:G101"/>
  <sheetViews>
    <sheetView workbookViewId="0">
      <selection sqref="A1:G1048576"/>
    </sheetView>
  </sheetViews>
  <sheetFormatPr defaultRowHeight="14.6" x14ac:dyDescent="0.4"/>
  <cols>
    <col min="1" max="1" width="14" bestFit="1" customWidth="1"/>
    <col min="2" max="2" width="4.765625" bestFit="1" customWidth="1"/>
    <col min="3" max="3" width="21.765625" bestFit="1" customWidth="1"/>
    <col min="4" max="4" width="28.23046875" bestFit="1" customWidth="1"/>
    <col min="5" max="5" width="15.765625" style="3" bestFit="1" customWidth="1"/>
    <col min="6" max="6" width="14.15234375" style="3" bestFit="1" customWidth="1"/>
    <col min="7" max="7" width="11.69140625" style="3" bestFit="1" customWidth="1"/>
  </cols>
  <sheetData>
    <row r="1" spans="1:7" x14ac:dyDescent="0.4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</row>
    <row r="2" spans="1:7" x14ac:dyDescent="0.4">
      <c r="A2" t="s">
        <v>7</v>
      </c>
      <c r="B2" t="s">
        <v>8</v>
      </c>
      <c r="C2" t="s">
        <v>9</v>
      </c>
      <c r="D2" t="s">
        <v>10</v>
      </c>
      <c r="E2" s="3">
        <v>17</v>
      </c>
      <c r="F2" s="3">
        <v>40</v>
      </c>
      <c r="G2" s="3">
        <v>0.42499999999999999</v>
      </c>
    </row>
    <row r="3" spans="1:7" x14ac:dyDescent="0.4">
      <c r="A3" t="s">
        <v>11</v>
      </c>
      <c r="B3" t="s">
        <v>8</v>
      </c>
      <c r="C3" t="s">
        <v>12</v>
      </c>
      <c r="D3" t="s">
        <v>13</v>
      </c>
      <c r="E3" s="3">
        <v>14</v>
      </c>
      <c r="F3" s="3">
        <v>40</v>
      </c>
      <c r="G3" s="3">
        <v>0.35</v>
      </c>
    </row>
    <row r="4" spans="1:7" x14ac:dyDescent="0.4">
      <c r="A4" t="s">
        <v>14</v>
      </c>
      <c r="B4" t="s">
        <v>8</v>
      </c>
      <c r="C4" t="s">
        <v>15</v>
      </c>
      <c r="D4" t="s">
        <v>16</v>
      </c>
      <c r="E4" s="3">
        <v>16</v>
      </c>
      <c r="F4" s="3">
        <v>40</v>
      </c>
      <c r="G4" s="3">
        <v>0.4</v>
      </c>
    </row>
    <row r="5" spans="1:7" x14ac:dyDescent="0.4">
      <c r="A5" t="s">
        <v>17</v>
      </c>
      <c r="B5" t="s">
        <v>8</v>
      </c>
      <c r="C5" t="s">
        <v>18</v>
      </c>
      <c r="D5" t="s">
        <v>19</v>
      </c>
      <c r="E5" s="3">
        <v>6</v>
      </c>
      <c r="F5" s="3">
        <v>40</v>
      </c>
      <c r="G5" s="3">
        <v>0.15</v>
      </c>
    </row>
    <row r="6" spans="1:7" x14ac:dyDescent="0.4">
      <c r="A6" t="s">
        <v>20</v>
      </c>
      <c r="B6" t="s">
        <v>8</v>
      </c>
      <c r="C6" t="s">
        <v>21</v>
      </c>
      <c r="D6" t="s">
        <v>22</v>
      </c>
      <c r="E6" s="3">
        <v>40</v>
      </c>
      <c r="F6" s="3">
        <v>40</v>
      </c>
      <c r="G6" s="3">
        <v>1</v>
      </c>
    </row>
    <row r="7" spans="1:7" x14ac:dyDescent="0.4">
      <c r="A7" t="s">
        <v>23</v>
      </c>
      <c r="B7" t="s">
        <v>8</v>
      </c>
      <c r="C7" t="s">
        <v>24</v>
      </c>
      <c r="D7" t="s">
        <v>25</v>
      </c>
      <c r="E7" s="3">
        <v>8</v>
      </c>
      <c r="F7" s="3">
        <v>40</v>
      </c>
      <c r="G7" s="3">
        <v>0.2</v>
      </c>
    </row>
    <row r="8" spans="1:7" x14ac:dyDescent="0.4">
      <c r="A8" t="s">
        <v>26</v>
      </c>
      <c r="B8" t="s">
        <v>8</v>
      </c>
      <c r="C8" t="s">
        <v>27</v>
      </c>
      <c r="D8" t="s">
        <v>28</v>
      </c>
      <c r="E8" s="3">
        <v>16</v>
      </c>
      <c r="F8" s="3">
        <v>40</v>
      </c>
      <c r="G8" s="3">
        <v>0.4</v>
      </c>
    </row>
    <row r="9" spans="1:7" x14ac:dyDescent="0.4">
      <c r="A9" t="s">
        <v>29</v>
      </c>
      <c r="B9" t="s">
        <v>8</v>
      </c>
      <c r="C9" t="s">
        <v>30</v>
      </c>
      <c r="D9" t="s">
        <v>31</v>
      </c>
      <c r="E9" s="3">
        <v>38</v>
      </c>
      <c r="F9" s="3">
        <v>40</v>
      </c>
      <c r="G9" s="3">
        <v>0.95</v>
      </c>
    </row>
    <row r="10" spans="1:7" x14ac:dyDescent="0.4">
      <c r="A10" t="s">
        <v>32</v>
      </c>
      <c r="B10" t="s">
        <v>33</v>
      </c>
      <c r="C10" t="s">
        <v>34</v>
      </c>
      <c r="D10" t="s">
        <v>35</v>
      </c>
      <c r="E10" s="3">
        <v>40</v>
      </c>
      <c r="F10" s="3">
        <v>40</v>
      </c>
      <c r="G10" s="3">
        <v>1</v>
      </c>
    </row>
    <row r="11" spans="1:7" x14ac:dyDescent="0.4">
      <c r="A11" t="s">
        <v>36</v>
      </c>
      <c r="B11" t="s">
        <v>33</v>
      </c>
      <c r="C11" t="s">
        <v>37</v>
      </c>
      <c r="D11" t="s">
        <v>38</v>
      </c>
      <c r="E11" s="3">
        <v>14</v>
      </c>
      <c r="F11" s="3">
        <v>40</v>
      </c>
      <c r="G11" s="3">
        <v>0.35</v>
      </c>
    </row>
    <row r="12" spans="1:7" x14ac:dyDescent="0.4">
      <c r="A12" t="s">
        <v>39</v>
      </c>
      <c r="B12" t="s">
        <v>33</v>
      </c>
      <c r="C12" t="s">
        <v>40</v>
      </c>
      <c r="D12" t="s">
        <v>41</v>
      </c>
      <c r="E12" s="3">
        <v>6</v>
      </c>
      <c r="F12" s="3">
        <v>40</v>
      </c>
      <c r="G12" s="3">
        <v>0.15</v>
      </c>
    </row>
    <row r="13" spans="1:7" x14ac:dyDescent="0.4">
      <c r="A13" t="s">
        <v>42</v>
      </c>
      <c r="B13" t="s">
        <v>33</v>
      </c>
      <c r="C13" t="s">
        <v>43</v>
      </c>
      <c r="D13" t="s">
        <v>44</v>
      </c>
      <c r="E13" s="3">
        <v>2</v>
      </c>
      <c r="F13" s="3">
        <v>40</v>
      </c>
      <c r="G13" s="3">
        <v>0.05</v>
      </c>
    </row>
    <row r="14" spans="1:7" x14ac:dyDescent="0.4">
      <c r="A14" t="s">
        <v>45</v>
      </c>
      <c r="B14" t="s">
        <v>46</v>
      </c>
      <c r="C14" t="s">
        <v>47</v>
      </c>
      <c r="D14" t="s">
        <v>48</v>
      </c>
      <c r="E14" s="3">
        <v>6</v>
      </c>
      <c r="F14" s="3">
        <v>40</v>
      </c>
      <c r="G14" s="3">
        <v>0.15</v>
      </c>
    </row>
    <row r="15" spans="1:7" x14ac:dyDescent="0.4">
      <c r="A15" t="s">
        <v>49</v>
      </c>
      <c r="B15" t="s">
        <v>46</v>
      </c>
      <c r="C15" t="s">
        <v>50</v>
      </c>
      <c r="D15" t="s">
        <v>51</v>
      </c>
      <c r="E15" s="3">
        <v>2</v>
      </c>
      <c r="F15" s="3">
        <v>40</v>
      </c>
      <c r="G15" s="3">
        <v>0.05</v>
      </c>
    </row>
    <row r="16" spans="1:7" x14ac:dyDescent="0.4">
      <c r="A16" t="s">
        <v>52</v>
      </c>
      <c r="B16" t="s">
        <v>46</v>
      </c>
      <c r="C16" t="s">
        <v>53</v>
      </c>
      <c r="D16" t="s">
        <v>54</v>
      </c>
      <c r="E16" s="3">
        <v>8</v>
      </c>
      <c r="F16" s="3">
        <v>40</v>
      </c>
      <c r="G16" s="3">
        <v>0.2</v>
      </c>
    </row>
    <row r="17" spans="1:7" x14ac:dyDescent="0.4">
      <c r="A17" t="s">
        <v>55</v>
      </c>
      <c r="B17" t="s">
        <v>46</v>
      </c>
      <c r="C17" t="s">
        <v>56</v>
      </c>
      <c r="D17" t="s">
        <v>57</v>
      </c>
      <c r="E17" s="3">
        <v>10</v>
      </c>
      <c r="F17" s="3">
        <v>40</v>
      </c>
      <c r="G17" s="3">
        <v>0.25</v>
      </c>
    </row>
    <row r="18" spans="1:7" x14ac:dyDescent="0.4">
      <c r="A18" t="s">
        <v>58</v>
      </c>
      <c r="B18" t="s">
        <v>46</v>
      </c>
      <c r="C18" t="s">
        <v>59</v>
      </c>
      <c r="D18" t="s">
        <v>60</v>
      </c>
      <c r="E18" s="3">
        <v>23</v>
      </c>
      <c r="F18" s="3">
        <v>40</v>
      </c>
      <c r="G18" s="3">
        <v>0.57499999999999996</v>
      </c>
    </row>
    <row r="19" spans="1:7" x14ac:dyDescent="0.4">
      <c r="A19" t="s">
        <v>61</v>
      </c>
      <c r="B19" t="s">
        <v>46</v>
      </c>
      <c r="C19" t="s">
        <v>62</v>
      </c>
      <c r="D19" t="s">
        <v>63</v>
      </c>
      <c r="E19" s="3">
        <v>2</v>
      </c>
      <c r="F19" s="3">
        <v>40</v>
      </c>
      <c r="G19" s="3">
        <v>0.05</v>
      </c>
    </row>
    <row r="20" spans="1:7" x14ac:dyDescent="0.4">
      <c r="A20" t="s">
        <v>64</v>
      </c>
      <c r="B20" t="s">
        <v>46</v>
      </c>
      <c r="C20" t="s">
        <v>65</v>
      </c>
      <c r="D20" t="s">
        <v>66</v>
      </c>
      <c r="E20" s="3">
        <v>2</v>
      </c>
      <c r="F20" s="3">
        <v>40</v>
      </c>
      <c r="G20" s="3">
        <v>0.05</v>
      </c>
    </row>
    <row r="21" spans="1:7" x14ac:dyDescent="0.4">
      <c r="A21" t="s">
        <v>67</v>
      </c>
      <c r="B21" t="s">
        <v>46</v>
      </c>
      <c r="C21" t="s">
        <v>68</v>
      </c>
      <c r="D21" t="s">
        <v>69</v>
      </c>
      <c r="E21" s="3">
        <v>8</v>
      </c>
      <c r="F21" s="3">
        <v>40</v>
      </c>
      <c r="G21" s="3">
        <v>0.2</v>
      </c>
    </row>
    <row r="22" spans="1:7" x14ac:dyDescent="0.4">
      <c r="A22" t="s">
        <v>70</v>
      </c>
      <c r="B22" t="s">
        <v>46</v>
      </c>
      <c r="C22" t="s">
        <v>71</v>
      </c>
      <c r="D22" t="s">
        <v>72</v>
      </c>
      <c r="E22" s="3">
        <v>3</v>
      </c>
      <c r="F22" s="3">
        <v>40</v>
      </c>
      <c r="G22" s="3">
        <v>7.4999999999999997E-2</v>
      </c>
    </row>
    <row r="23" spans="1:7" x14ac:dyDescent="0.4">
      <c r="A23" t="s">
        <v>73</v>
      </c>
      <c r="B23" t="s">
        <v>46</v>
      </c>
      <c r="C23" t="s">
        <v>74</v>
      </c>
      <c r="D23" t="s">
        <v>75</v>
      </c>
      <c r="E23" s="3">
        <v>3.5</v>
      </c>
      <c r="F23" s="3">
        <v>40</v>
      </c>
      <c r="G23" s="3">
        <v>8.7499999999999994E-2</v>
      </c>
    </row>
    <row r="24" spans="1:7" x14ac:dyDescent="0.4">
      <c r="A24" t="s">
        <v>76</v>
      </c>
      <c r="B24" t="s">
        <v>46</v>
      </c>
      <c r="C24" t="s">
        <v>77</v>
      </c>
      <c r="D24" t="s">
        <v>78</v>
      </c>
      <c r="E24" s="3">
        <v>3</v>
      </c>
      <c r="F24" s="3">
        <v>40</v>
      </c>
      <c r="G24" s="3">
        <v>7.4999999999999997E-2</v>
      </c>
    </row>
    <row r="25" spans="1:7" x14ac:dyDescent="0.4">
      <c r="A25" t="s">
        <v>79</v>
      </c>
      <c r="B25" t="s">
        <v>46</v>
      </c>
      <c r="C25" t="s">
        <v>80</v>
      </c>
      <c r="D25" t="s">
        <v>81</v>
      </c>
      <c r="E25" s="3">
        <v>6</v>
      </c>
      <c r="F25" s="3">
        <v>40</v>
      </c>
      <c r="G25" s="3">
        <v>0.15</v>
      </c>
    </row>
    <row r="26" spans="1:7" x14ac:dyDescent="0.4">
      <c r="A26" t="s">
        <v>82</v>
      </c>
      <c r="B26" t="s">
        <v>46</v>
      </c>
      <c r="C26" t="s">
        <v>83</v>
      </c>
      <c r="D26" t="s">
        <v>84</v>
      </c>
      <c r="E26" s="3">
        <v>5</v>
      </c>
      <c r="F26" s="3">
        <v>40</v>
      </c>
      <c r="G26" s="3">
        <v>0.125</v>
      </c>
    </row>
    <row r="27" spans="1:7" x14ac:dyDescent="0.4">
      <c r="A27" t="s">
        <v>85</v>
      </c>
      <c r="B27" t="s">
        <v>46</v>
      </c>
      <c r="C27" t="s">
        <v>86</v>
      </c>
      <c r="D27" t="s">
        <v>87</v>
      </c>
      <c r="E27" s="3">
        <v>16</v>
      </c>
      <c r="F27" s="3">
        <v>40</v>
      </c>
      <c r="G27" s="3">
        <v>0.4</v>
      </c>
    </row>
    <row r="28" spans="1:7" x14ac:dyDescent="0.4">
      <c r="A28" t="s">
        <v>88</v>
      </c>
      <c r="B28" t="s">
        <v>46</v>
      </c>
      <c r="C28" t="s">
        <v>89</v>
      </c>
      <c r="D28" t="s">
        <v>90</v>
      </c>
      <c r="E28" s="3">
        <v>40</v>
      </c>
      <c r="F28" s="3">
        <v>40</v>
      </c>
      <c r="G28" s="3">
        <v>1</v>
      </c>
    </row>
    <row r="29" spans="1:7" x14ac:dyDescent="0.4">
      <c r="A29" t="s">
        <v>91</v>
      </c>
      <c r="B29" t="s">
        <v>46</v>
      </c>
      <c r="C29" t="s">
        <v>92</v>
      </c>
      <c r="D29" t="s">
        <v>93</v>
      </c>
      <c r="E29" s="3">
        <v>40</v>
      </c>
      <c r="F29" s="3">
        <v>40</v>
      </c>
      <c r="G29" s="3">
        <v>1</v>
      </c>
    </row>
    <row r="30" spans="1:7" x14ac:dyDescent="0.4">
      <c r="A30" t="s">
        <v>94</v>
      </c>
      <c r="B30" t="s">
        <v>46</v>
      </c>
      <c r="C30" t="s">
        <v>95</v>
      </c>
      <c r="D30" t="s">
        <v>96</v>
      </c>
      <c r="E30" s="3">
        <v>2</v>
      </c>
      <c r="F30" s="3">
        <v>40</v>
      </c>
      <c r="G30" s="3">
        <v>0.05</v>
      </c>
    </row>
    <row r="31" spans="1:7" x14ac:dyDescent="0.4">
      <c r="A31" t="s">
        <v>97</v>
      </c>
      <c r="B31" t="s">
        <v>46</v>
      </c>
      <c r="C31" t="s">
        <v>98</v>
      </c>
      <c r="D31" t="s">
        <v>99</v>
      </c>
      <c r="E31" s="3">
        <v>1</v>
      </c>
      <c r="F31" s="3">
        <v>40</v>
      </c>
      <c r="G31" s="3">
        <v>2.5000000000000001E-2</v>
      </c>
    </row>
    <row r="32" spans="1:7" x14ac:dyDescent="0.4">
      <c r="A32" t="s">
        <v>100</v>
      </c>
      <c r="B32" t="s">
        <v>46</v>
      </c>
      <c r="C32" t="s">
        <v>101</v>
      </c>
      <c r="D32" t="s">
        <v>102</v>
      </c>
      <c r="E32" s="3">
        <v>2</v>
      </c>
      <c r="F32" s="3">
        <v>40</v>
      </c>
      <c r="G32" s="3">
        <v>0.05</v>
      </c>
    </row>
    <row r="33" spans="1:7" x14ac:dyDescent="0.4">
      <c r="A33" t="s">
        <v>103</v>
      </c>
      <c r="B33" t="s">
        <v>104</v>
      </c>
      <c r="C33" t="s">
        <v>105</v>
      </c>
      <c r="D33" t="s">
        <v>106</v>
      </c>
      <c r="E33" s="3">
        <v>34.5</v>
      </c>
      <c r="F33" s="3">
        <v>40</v>
      </c>
      <c r="G33" s="3">
        <v>0.86250000000000004</v>
      </c>
    </row>
    <row r="34" spans="1:7" x14ac:dyDescent="0.4">
      <c r="A34" t="s">
        <v>107</v>
      </c>
      <c r="B34" t="s">
        <v>104</v>
      </c>
      <c r="C34" t="s">
        <v>108</v>
      </c>
      <c r="D34" t="s">
        <v>10</v>
      </c>
      <c r="E34" s="3">
        <v>50</v>
      </c>
      <c r="F34" s="3">
        <v>40</v>
      </c>
      <c r="G34" s="3">
        <v>1.25</v>
      </c>
    </row>
    <row r="35" spans="1:7" x14ac:dyDescent="0.4">
      <c r="A35" t="s">
        <v>109</v>
      </c>
      <c r="B35" t="s">
        <v>104</v>
      </c>
      <c r="C35" t="s">
        <v>110</v>
      </c>
      <c r="D35" t="s">
        <v>13</v>
      </c>
      <c r="E35" s="3">
        <v>40</v>
      </c>
      <c r="F35" s="3">
        <v>40</v>
      </c>
      <c r="G35" s="3">
        <v>1</v>
      </c>
    </row>
    <row r="36" spans="1:7" x14ac:dyDescent="0.4">
      <c r="A36" t="s">
        <v>111</v>
      </c>
      <c r="B36" t="s">
        <v>112</v>
      </c>
      <c r="C36" t="s">
        <v>113</v>
      </c>
      <c r="D36" t="s">
        <v>16</v>
      </c>
      <c r="E36" s="3">
        <v>26</v>
      </c>
      <c r="F36" s="3">
        <v>40</v>
      </c>
      <c r="G36" s="3">
        <v>0.65</v>
      </c>
    </row>
    <row r="37" spans="1:7" x14ac:dyDescent="0.4">
      <c r="A37" t="s">
        <v>114</v>
      </c>
      <c r="B37" t="s">
        <v>112</v>
      </c>
      <c r="C37" t="s">
        <v>115</v>
      </c>
      <c r="D37" t="s">
        <v>19</v>
      </c>
      <c r="E37" s="3">
        <v>4</v>
      </c>
      <c r="F37" s="3">
        <v>40</v>
      </c>
      <c r="G37" s="3">
        <v>0.1</v>
      </c>
    </row>
    <row r="38" spans="1:7" x14ac:dyDescent="0.4">
      <c r="A38" t="s">
        <v>116</v>
      </c>
      <c r="B38" t="s">
        <v>112</v>
      </c>
      <c r="C38" t="s">
        <v>117</v>
      </c>
      <c r="D38" t="s">
        <v>22</v>
      </c>
      <c r="E38" s="3">
        <v>40</v>
      </c>
      <c r="F38" s="3">
        <v>40</v>
      </c>
      <c r="G38" s="3">
        <v>1</v>
      </c>
    </row>
    <row r="39" spans="1:7" x14ac:dyDescent="0.4">
      <c r="A39" t="s">
        <v>118</v>
      </c>
      <c r="B39" t="s">
        <v>119</v>
      </c>
      <c r="C39" t="s">
        <v>120</v>
      </c>
      <c r="D39" t="s">
        <v>25</v>
      </c>
      <c r="E39" s="3">
        <v>12</v>
      </c>
      <c r="F39" s="3">
        <v>40</v>
      </c>
      <c r="G39" s="3">
        <v>0.3</v>
      </c>
    </row>
    <row r="40" spans="1:7" x14ac:dyDescent="0.4">
      <c r="A40" t="s">
        <v>121</v>
      </c>
      <c r="B40" t="s">
        <v>119</v>
      </c>
      <c r="C40" t="s">
        <v>122</v>
      </c>
      <c r="D40" t="s">
        <v>28</v>
      </c>
      <c r="E40" s="3">
        <v>40</v>
      </c>
      <c r="F40" s="3">
        <v>40</v>
      </c>
      <c r="G40" s="3">
        <v>1</v>
      </c>
    </row>
    <row r="41" spans="1:7" x14ac:dyDescent="0.4">
      <c r="A41" t="s">
        <v>123</v>
      </c>
      <c r="B41" t="s">
        <v>119</v>
      </c>
      <c r="C41" t="s">
        <v>124</v>
      </c>
      <c r="D41" t="s">
        <v>31</v>
      </c>
      <c r="E41" s="3">
        <v>28</v>
      </c>
      <c r="F41" s="3">
        <v>40</v>
      </c>
      <c r="G41" s="3">
        <v>0.7</v>
      </c>
    </row>
    <row r="42" spans="1:7" x14ac:dyDescent="0.4">
      <c r="A42" t="s">
        <v>125</v>
      </c>
      <c r="B42" t="s">
        <v>119</v>
      </c>
      <c r="C42" t="s">
        <v>126</v>
      </c>
      <c r="D42" t="s">
        <v>35</v>
      </c>
      <c r="E42" s="3">
        <v>39</v>
      </c>
      <c r="F42" s="3">
        <v>40</v>
      </c>
      <c r="G42" s="3">
        <v>0.97499999999999998</v>
      </c>
    </row>
    <row r="43" spans="1:7" x14ac:dyDescent="0.4">
      <c r="A43" t="s">
        <v>127</v>
      </c>
      <c r="B43" t="s">
        <v>119</v>
      </c>
      <c r="C43" t="s">
        <v>128</v>
      </c>
      <c r="D43" t="s">
        <v>38</v>
      </c>
      <c r="E43" s="3">
        <v>24</v>
      </c>
      <c r="F43" s="3">
        <v>40</v>
      </c>
      <c r="G43" s="3">
        <v>0.6</v>
      </c>
    </row>
    <row r="44" spans="1:7" x14ac:dyDescent="0.4">
      <c r="A44" t="s">
        <v>129</v>
      </c>
      <c r="B44" t="s">
        <v>130</v>
      </c>
      <c r="C44" t="s">
        <v>131</v>
      </c>
      <c r="D44" t="s">
        <v>41</v>
      </c>
      <c r="E44" s="3">
        <v>32</v>
      </c>
      <c r="F44" s="3">
        <v>40</v>
      </c>
      <c r="G44" s="3">
        <v>0.8</v>
      </c>
    </row>
    <row r="45" spans="1:7" x14ac:dyDescent="0.4">
      <c r="A45" t="s">
        <v>132</v>
      </c>
      <c r="B45" t="s">
        <v>130</v>
      </c>
      <c r="C45" t="s">
        <v>133</v>
      </c>
      <c r="D45" t="s">
        <v>44</v>
      </c>
      <c r="E45" s="3">
        <v>8</v>
      </c>
      <c r="F45" s="3">
        <v>40</v>
      </c>
      <c r="G45" s="3">
        <v>0.2</v>
      </c>
    </row>
    <row r="46" spans="1:7" x14ac:dyDescent="0.4">
      <c r="A46" t="s">
        <v>134</v>
      </c>
      <c r="B46" t="s">
        <v>130</v>
      </c>
      <c r="C46" t="s">
        <v>135</v>
      </c>
      <c r="D46" t="s">
        <v>48</v>
      </c>
      <c r="E46" s="3">
        <v>4</v>
      </c>
      <c r="F46" s="3">
        <v>40</v>
      </c>
      <c r="G46" s="3">
        <v>0.1</v>
      </c>
    </row>
    <row r="47" spans="1:7" x14ac:dyDescent="0.4">
      <c r="A47" t="s">
        <v>136</v>
      </c>
      <c r="B47" t="s">
        <v>130</v>
      </c>
      <c r="C47" t="s">
        <v>137</v>
      </c>
      <c r="D47" t="s">
        <v>51</v>
      </c>
      <c r="E47" s="3">
        <v>2</v>
      </c>
      <c r="F47" s="3">
        <v>40</v>
      </c>
      <c r="G47" s="3">
        <v>0.05</v>
      </c>
    </row>
    <row r="48" spans="1:7" x14ac:dyDescent="0.4">
      <c r="A48" t="s">
        <v>138</v>
      </c>
      <c r="B48" t="s">
        <v>130</v>
      </c>
      <c r="C48" t="s">
        <v>139</v>
      </c>
      <c r="D48" t="s">
        <v>54</v>
      </c>
      <c r="E48" s="3">
        <v>40</v>
      </c>
      <c r="F48" s="3">
        <v>40</v>
      </c>
      <c r="G48" s="3">
        <v>1</v>
      </c>
    </row>
    <row r="49" spans="1:7" x14ac:dyDescent="0.4">
      <c r="A49" t="s">
        <v>140</v>
      </c>
      <c r="B49" t="s">
        <v>141</v>
      </c>
      <c r="C49" t="s">
        <v>142</v>
      </c>
      <c r="D49" t="s">
        <v>57</v>
      </c>
      <c r="E49" s="3">
        <v>40</v>
      </c>
      <c r="F49" s="3">
        <v>40</v>
      </c>
      <c r="G49" s="3">
        <v>1</v>
      </c>
    </row>
    <row r="50" spans="1:7" x14ac:dyDescent="0.4">
      <c r="A50" t="s">
        <v>143</v>
      </c>
      <c r="B50" t="s">
        <v>141</v>
      </c>
      <c r="C50" t="s">
        <v>144</v>
      </c>
      <c r="D50" t="s">
        <v>60</v>
      </c>
      <c r="E50" s="3">
        <v>4</v>
      </c>
      <c r="F50" s="3">
        <v>40</v>
      </c>
      <c r="G50" s="3">
        <v>0.1</v>
      </c>
    </row>
    <row r="51" spans="1:7" x14ac:dyDescent="0.4">
      <c r="A51" t="s">
        <v>145</v>
      </c>
      <c r="B51" t="s">
        <v>141</v>
      </c>
      <c r="C51" t="s">
        <v>146</v>
      </c>
      <c r="D51" t="s">
        <v>63</v>
      </c>
      <c r="E51" s="3">
        <v>4</v>
      </c>
      <c r="F51" s="3">
        <v>40</v>
      </c>
      <c r="G51" s="3">
        <v>0.1</v>
      </c>
    </row>
    <row r="52" spans="1:7" x14ac:dyDescent="0.4">
      <c r="A52" t="s">
        <v>147</v>
      </c>
      <c r="B52" t="s">
        <v>141</v>
      </c>
      <c r="C52" t="s">
        <v>148</v>
      </c>
      <c r="D52" t="s">
        <v>66</v>
      </c>
      <c r="E52" s="3">
        <v>2</v>
      </c>
      <c r="F52" s="3">
        <v>40</v>
      </c>
      <c r="G52" s="3">
        <v>0.05</v>
      </c>
    </row>
    <row r="53" spans="1:7" x14ac:dyDescent="0.4">
      <c r="A53" t="s">
        <v>149</v>
      </c>
      <c r="B53" t="s">
        <v>150</v>
      </c>
      <c r="C53" t="s">
        <v>151</v>
      </c>
      <c r="D53" t="s">
        <v>69</v>
      </c>
      <c r="E53" s="3">
        <v>2</v>
      </c>
      <c r="F53" s="3">
        <v>40</v>
      </c>
      <c r="G53" s="3">
        <v>0.05</v>
      </c>
    </row>
    <row r="54" spans="1:7" x14ac:dyDescent="0.4">
      <c r="A54" t="s">
        <v>152</v>
      </c>
      <c r="B54" t="s">
        <v>150</v>
      </c>
      <c r="C54" t="s">
        <v>153</v>
      </c>
      <c r="D54" t="s">
        <v>72</v>
      </c>
      <c r="E54" s="3">
        <v>4</v>
      </c>
      <c r="F54" s="3">
        <v>40</v>
      </c>
      <c r="G54" s="3">
        <v>0.1</v>
      </c>
    </row>
    <row r="55" spans="1:7" x14ac:dyDescent="0.4">
      <c r="A55" t="s">
        <v>154</v>
      </c>
      <c r="B55" t="s">
        <v>150</v>
      </c>
      <c r="C55" t="s">
        <v>155</v>
      </c>
      <c r="D55" t="s">
        <v>75</v>
      </c>
      <c r="E55" s="3">
        <v>35</v>
      </c>
      <c r="F55" s="3">
        <v>40</v>
      </c>
      <c r="G55" s="3">
        <v>0.875</v>
      </c>
    </row>
    <row r="56" spans="1:7" x14ac:dyDescent="0.4">
      <c r="A56" t="s">
        <v>156</v>
      </c>
      <c r="B56" t="s">
        <v>157</v>
      </c>
      <c r="C56" t="s">
        <v>158</v>
      </c>
      <c r="D56" t="s">
        <v>78</v>
      </c>
      <c r="E56" s="3">
        <v>6</v>
      </c>
      <c r="F56" s="3">
        <v>40</v>
      </c>
      <c r="G56" s="3">
        <v>0.15</v>
      </c>
    </row>
    <row r="57" spans="1:7" x14ac:dyDescent="0.4">
      <c r="A57" t="s">
        <v>159</v>
      </c>
      <c r="B57" t="s">
        <v>157</v>
      </c>
      <c r="C57" t="s">
        <v>160</v>
      </c>
      <c r="D57" t="s">
        <v>81</v>
      </c>
      <c r="E57" s="3">
        <v>11</v>
      </c>
      <c r="F57" s="3">
        <v>40</v>
      </c>
      <c r="G57" s="3">
        <v>0.27500000000000002</v>
      </c>
    </row>
    <row r="58" spans="1:7" x14ac:dyDescent="0.4">
      <c r="A58" t="s">
        <v>161</v>
      </c>
      <c r="B58" t="s">
        <v>157</v>
      </c>
      <c r="C58" t="s">
        <v>162</v>
      </c>
      <c r="D58" t="s">
        <v>84</v>
      </c>
      <c r="E58" s="3">
        <v>2</v>
      </c>
      <c r="F58" s="3">
        <v>40</v>
      </c>
      <c r="G58" s="3">
        <v>0.05</v>
      </c>
    </row>
    <row r="59" spans="1:7" x14ac:dyDescent="0.4">
      <c r="A59" t="s">
        <v>163</v>
      </c>
      <c r="B59" t="s">
        <v>157</v>
      </c>
      <c r="C59" t="s">
        <v>164</v>
      </c>
      <c r="D59" t="s">
        <v>87</v>
      </c>
      <c r="E59" s="3">
        <v>4</v>
      </c>
      <c r="F59" s="3">
        <v>40</v>
      </c>
      <c r="G59" s="3">
        <v>0.1</v>
      </c>
    </row>
    <row r="60" spans="1:7" x14ac:dyDescent="0.4">
      <c r="A60" t="s">
        <v>165</v>
      </c>
      <c r="B60" t="s">
        <v>157</v>
      </c>
      <c r="C60" t="s">
        <v>166</v>
      </c>
      <c r="D60" t="s">
        <v>90</v>
      </c>
      <c r="E60" s="3">
        <v>4</v>
      </c>
      <c r="F60" s="3">
        <v>40</v>
      </c>
      <c r="G60" s="3">
        <v>0.1</v>
      </c>
    </row>
    <row r="61" spans="1:7" x14ac:dyDescent="0.4">
      <c r="A61" t="s">
        <v>167</v>
      </c>
      <c r="B61" t="s">
        <v>157</v>
      </c>
      <c r="C61" t="s">
        <v>168</v>
      </c>
      <c r="D61" t="s">
        <v>93</v>
      </c>
      <c r="E61" s="3">
        <v>10</v>
      </c>
      <c r="F61" s="3">
        <v>40</v>
      </c>
      <c r="G61" s="3">
        <v>0.25</v>
      </c>
    </row>
    <row r="62" spans="1:7" x14ac:dyDescent="0.4">
      <c r="A62" t="s">
        <v>169</v>
      </c>
      <c r="B62" t="s">
        <v>157</v>
      </c>
      <c r="C62" t="s">
        <v>170</v>
      </c>
      <c r="D62" t="s">
        <v>96</v>
      </c>
      <c r="E62" s="3">
        <v>3</v>
      </c>
      <c r="F62" s="3">
        <v>40</v>
      </c>
      <c r="G62" s="3">
        <v>7.4999999999999997E-2</v>
      </c>
    </row>
    <row r="63" spans="1:7" x14ac:dyDescent="0.4">
      <c r="A63" t="s">
        <v>171</v>
      </c>
      <c r="B63" t="s">
        <v>172</v>
      </c>
      <c r="C63" t="s">
        <v>173</v>
      </c>
      <c r="D63" t="s">
        <v>99</v>
      </c>
      <c r="E63" s="3">
        <v>3</v>
      </c>
      <c r="F63" s="3">
        <v>40</v>
      </c>
      <c r="G63" s="3">
        <v>7.4999999999999997E-2</v>
      </c>
    </row>
    <row r="64" spans="1:7" x14ac:dyDescent="0.4">
      <c r="A64" t="s">
        <v>174</v>
      </c>
      <c r="B64" t="s">
        <v>172</v>
      </c>
      <c r="C64" t="s">
        <v>175</v>
      </c>
      <c r="D64" t="s">
        <v>102</v>
      </c>
      <c r="E64" s="3">
        <v>38</v>
      </c>
      <c r="F64" s="3">
        <v>40</v>
      </c>
      <c r="G64" s="3">
        <v>0.95</v>
      </c>
    </row>
    <row r="65" spans="1:7" x14ac:dyDescent="0.4">
      <c r="A65" t="s">
        <v>176</v>
      </c>
      <c r="B65" t="s">
        <v>172</v>
      </c>
      <c r="C65" t="s">
        <v>177</v>
      </c>
      <c r="D65" t="s">
        <v>106</v>
      </c>
      <c r="E65" s="3">
        <v>40</v>
      </c>
      <c r="F65" s="3">
        <v>40</v>
      </c>
      <c r="G65" s="3">
        <v>1</v>
      </c>
    </row>
    <row r="66" spans="1:7" x14ac:dyDescent="0.4">
      <c r="A66" t="s">
        <v>178</v>
      </c>
      <c r="B66" t="s">
        <v>179</v>
      </c>
      <c r="C66" t="s">
        <v>180</v>
      </c>
      <c r="D66" t="s">
        <v>10</v>
      </c>
      <c r="E66" s="3">
        <v>16</v>
      </c>
      <c r="F66" s="3">
        <v>40</v>
      </c>
      <c r="G66" s="3">
        <v>0.4</v>
      </c>
    </row>
    <row r="67" spans="1:7" x14ac:dyDescent="0.4">
      <c r="A67" t="s">
        <v>181</v>
      </c>
      <c r="B67" t="s">
        <v>179</v>
      </c>
      <c r="C67" t="s">
        <v>182</v>
      </c>
      <c r="D67" t="s">
        <v>13</v>
      </c>
      <c r="E67" s="3">
        <v>24</v>
      </c>
      <c r="F67" s="3">
        <v>40</v>
      </c>
      <c r="G67" s="3">
        <v>0.6</v>
      </c>
    </row>
    <row r="68" spans="1:7" x14ac:dyDescent="0.4">
      <c r="A68" t="s">
        <v>183</v>
      </c>
      <c r="B68" t="s">
        <v>179</v>
      </c>
      <c r="C68" t="s">
        <v>184</v>
      </c>
      <c r="D68" t="s">
        <v>16</v>
      </c>
      <c r="E68" s="3">
        <v>16</v>
      </c>
      <c r="F68" s="3">
        <v>40</v>
      </c>
      <c r="G68" s="3">
        <v>0.4</v>
      </c>
    </row>
    <row r="69" spans="1:7" x14ac:dyDescent="0.4">
      <c r="A69" t="s">
        <v>185</v>
      </c>
      <c r="B69" t="s">
        <v>179</v>
      </c>
      <c r="C69" t="s">
        <v>186</v>
      </c>
      <c r="D69" t="s">
        <v>19</v>
      </c>
      <c r="E69" s="3">
        <v>40</v>
      </c>
      <c r="F69" s="3">
        <v>40</v>
      </c>
      <c r="G69" s="3">
        <v>1</v>
      </c>
    </row>
    <row r="70" spans="1:7" x14ac:dyDescent="0.4">
      <c r="A70" t="s">
        <v>187</v>
      </c>
      <c r="B70" t="s">
        <v>188</v>
      </c>
      <c r="C70" t="s">
        <v>189</v>
      </c>
      <c r="D70" t="s">
        <v>22</v>
      </c>
      <c r="E70" s="3">
        <v>40</v>
      </c>
      <c r="F70" s="3">
        <v>40</v>
      </c>
      <c r="G70" s="3">
        <v>1</v>
      </c>
    </row>
    <row r="71" spans="1:7" x14ac:dyDescent="0.4">
      <c r="A71" t="s">
        <v>190</v>
      </c>
      <c r="B71" t="s">
        <v>188</v>
      </c>
      <c r="C71" t="s">
        <v>191</v>
      </c>
      <c r="D71" t="s">
        <v>25</v>
      </c>
      <c r="E71" s="3">
        <v>40</v>
      </c>
      <c r="F71" s="3">
        <v>40</v>
      </c>
      <c r="G71" s="3">
        <v>1</v>
      </c>
    </row>
    <row r="72" spans="1:7" x14ac:dyDescent="0.4">
      <c r="A72" t="s">
        <v>192</v>
      </c>
      <c r="B72" t="s">
        <v>188</v>
      </c>
      <c r="C72" t="s">
        <v>193</v>
      </c>
      <c r="D72" t="s">
        <v>28</v>
      </c>
      <c r="E72" s="3">
        <v>40</v>
      </c>
      <c r="F72" s="3">
        <v>40</v>
      </c>
      <c r="G72" s="3">
        <v>1</v>
      </c>
    </row>
    <row r="73" spans="1:7" x14ac:dyDescent="0.4">
      <c r="A73" t="s">
        <v>194</v>
      </c>
      <c r="B73" t="s">
        <v>188</v>
      </c>
      <c r="C73" t="s">
        <v>195</v>
      </c>
      <c r="D73" t="s">
        <v>31</v>
      </c>
      <c r="E73" s="3">
        <v>40</v>
      </c>
      <c r="F73" s="3">
        <v>40</v>
      </c>
      <c r="G73" s="3">
        <v>1</v>
      </c>
    </row>
    <row r="74" spans="1:7" x14ac:dyDescent="0.4">
      <c r="A74" t="s">
        <v>196</v>
      </c>
      <c r="B74" t="s">
        <v>188</v>
      </c>
      <c r="C74" t="s">
        <v>197</v>
      </c>
      <c r="D74" t="s">
        <v>35</v>
      </c>
      <c r="E74" s="3">
        <v>40</v>
      </c>
      <c r="F74" s="3">
        <v>40</v>
      </c>
      <c r="G74" s="3">
        <v>1</v>
      </c>
    </row>
    <row r="75" spans="1:7" x14ac:dyDescent="0.4">
      <c r="A75" t="s">
        <v>198</v>
      </c>
      <c r="B75" t="s">
        <v>188</v>
      </c>
      <c r="C75" t="s">
        <v>199</v>
      </c>
      <c r="D75" t="s">
        <v>38</v>
      </c>
      <c r="E75" s="3">
        <v>3</v>
      </c>
      <c r="F75" s="3">
        <v>40</v>
      </c>
      <c r="G75" s="3">
        <v>7.4999999999999997E-2</v>
      </c>
    </row>
    <row r="76" spans="1:7" x14ac:dyDescent="0.4">
      <c r="A76" t="s">
        <v>200</v>
      </c>
      <c r="B76" t="s">
        <v>188</v>
      </c>
      <c r="C76" t="s">
        <v>201</v>
      </c>
      <c r="D76" t="s">
        <v>41</v>
      </c>
      <c r="E76" s="3">
        <v>5</v>
      </c>
      <c r="F76" s="3">
        <v>40</v>
      </c>
      <c r="G76" s="3">
        <v>0.125</v>
      </c>
    </row>
    <row r="77" spans="1:7" x14ac:dyDescent="0.4">
      <c r="A77" t="s">
        <v>202</v>
      </c>
      <c r="B77" t="s">
        <v>188</v>
      </c>
      <c r="C77" t="s">
        <v>203</v>
      </c>
      <c r="D77" t="s">
        <v>44</v>
      </c>
      <c r="E77" s="3">
        <v>24</v>
      </c>
      <c r="F77" s="3">
        <v>40</v>
      </c>
      <c r="G77" s="3">
        <v>0.6</v>
      </c>
    </row>
    <row r="78" spans="1:7" x14ac:dyDescent="0.4">
      <c r="A78" t="s">
        <v>204</v>
      </c>
      <c r="B78" t="s">
        <v>188</v>
      </c>
      <c r="C78" t="s">
        <v>205</v>
      </c>
      <c r="D78" t="s">
        <v>48</v>
      </c>
      <c r="E78" s="3">
        <v>3</v>
      </c>
      <c r="F78" s="3">
        <v>40</v>
      </c>
      <c r="G78" s="3">
        <v>7.4999999999999997E-2</v>
      </c>
    </row>
    <row r="79" spans="1:7" x14ac:dyDescent="0.4">
      <c r="A79" t="s">
        <v>206</v>
      </c>
      <c r="B79" t="s">
        <v>188</v>
      </c>
      <c r="C79" t="s">
        <v>207</v>
      </c>
      <c r="D79" t="s">
        <v>51</v>
      </c>
      <c r="E79" s="3">
        <v>3</v>
      </c>
      <c r="F79" s="3">
        <v>40</v>
      </c>
      <c r="G79" s="3">
        <v>7.4999999999999997E-2</v>
      </c>
    </row>
    <row r="80" spans="1:7" x14ac:dyDescent="0.4">
      <c r="A80" t="s">
        <v>208</v>
      </c>
      <c r="B80" t="s">
        <v>188</v>
      </c>
      <c r="C80" t="s">
        <v>209</v>
      </c>
      <c r="D80" t="s">
        <v>54</v>
      </c>
      <c r="E80" s="3">
        <v>24</v>
      </c>
      <c r="F80" s="3">
        <v>40</v>
      </c>
      <c r="G80" s="3">
        <v>0.6</v>
      </c>
    </row>
    <row r="81" spans="1:7" x14ac:dyDescent="0.4">
      <c r="A81" t="s">
        <v>210</v>
      </c>
      <c r="B81" t="s">
        <v>211</v>
      </c>
      <c r="C81" t="s">
        <v>212</v>
      </c>
      <c r="D81" t="s">
        <v>57</v>
      </c>
      <c r="E81" s="3">
        <v>4</v>
      </c>
      <c r="F81" s="3">
        <v>40</v>
      </c>
      <c r="G81" s="3">
        <v>0.1</v>
      </c>
    </row>
    <row r="82" spans="1:7" x14ac:dyDescent="0.4">
      <c r="A82" t="s">
        <v>213</v>
      </c>
      <c r="B82" t="s">
        <v>211</v>
      </c>
      <c r="C82" t="s">
        <v>212</v>
      </c>
      <c r="D82" t="s">
        <v>60</v>
      </c>
      <c r="E82" s="3">
        <v>16</v>
      </c>
      <c r="F82" s="3">
        <v>40</v>
      </c>
      <c r="G82" s="3">
        <v>0.4</v>
      </c>
    </row>
    <row r="83" spans="1:7" x14ac:dyDescent="0.4">
      <c r="A83" t="s">
        <v>214</v>
      </c>
      <c r="B83" t="s">
        <v>211</v>
      </c>
      <c r="C83" t="s">
        <v>212</v>
      </c>
      <c r="D83" t="s">
        <v>63</v>
      </c>
      <c r="E83" s="3">
        <v>8</v>
      </c>
      <c r="F83" s="3">
        <v>40</v>
      </c>
      <c r="G83" s="3">
        <v>0.2</v>
      </c>
    </row>
    <row r="84" spans="1:7" x14ac:dyDescent="0.4">
      <c r="A84" t="s">
        <v>215</v>
      </c>
      <c r="B84" t="s">
        <v>211</v>
      </c>
      <c r="C84" t="s">
        <v>212</v>
      </c>
      <c r="D84" t="s">
        <v>66</v>
      </c>
      <c r="E84" s="3">
        <v>8</v>
      </c>
      <c r="F84" s="3">
        <v>40</v>
      </c>
      <c r="G84" s="3">
        <v>0.2</v>
      </c>
    </row>
    <row r="85" spans="1:7" x14ac:dyDescent="0.4">
      <c r="A85" t="s">
        <v>216</v>
      </c>
      <c r="B85" t="s">
        <v>211</v>
      </c>
      <c r="C85" t="s">
        <v>212</v>
      </c>
      <c r="D85" t="s">
        <v>69</v>
      </c>
      <c r="E85" s="3">
        <v>8</v>
      </c>
      <c r="F85" s="3">
        <v>40</v>
      </c>
      <c r="G85" s="3">
        <v>0.2</v>
      </c>
    </row>
    <row r="86" spans="1:7" x14ac:dyDescent="0.4">
      <c r="A86" t="s">
        <v>217</v>
      </c>
      <c r="B86" t="s">
        <v>211</v>
      </c>
      <c r="C86" t="s">
        <v>212</v>
      </c>
      <c r="D86" t="s">
        <v>72</v>
      </c>
      <c r="E86" s="3">
        <v>8</v>
      </c>
      <c r="F86" s="3">
        <v>40</v>
      </c>
      <c r="G86" s="3">
        <v>0.2</v>
      </c>
    </row>
    <row r="87" spans="1:7" x14ac:dyDescent="0.4">
      <c r="A87" t="s">
        <v>218</v>
      </c>
      <c r="B87" t="s">
        <v>211</v>
      </c>
      <c r="C87" t="s">
        <v>212</v>
      </c>
      <c r="D87" t="s">
        <v>75</v>
      </c>
      <c r="E87" s="3">
        <v>8</v>
      </c>
      <c r="F87" s="3">
        <v>40</v>
      </c>
      <c r="G87" s="3">
        <v>0.2</v>
      </c>
    </row>
    <row r="88" spans="1:7" x14ac:dyDescent="0.4">
      <c r="A88" t="s">
        <v>219</v>
      </c>
      <c r="B88" t="s">
        <v>211</v>
      </c>
      <c r="C88" t="s">
        <v>212</v>
      </c>
      <c r="D88" t="s">
        <v>78</v>
      </c>
      <c r="E88" s="3">
        <v>40</v>
      </c>
      <c r="F88" s="3">
        <v>40</v>
      </c>
      <c r="G88" s="3">
        <v>1</v>
      </c>
    </row>
    <row r="89" spans="1:7" x14ac:dyDescent="0.4">
      <c r="A89" t="s">
        <v>220</v>
      </c>
      <c r="B89" t="s">
        <v>211</v>
      </c>
      <c r="C89" t="s">
        <v>212</v>
      </c>
      <c r="D89" t="s">
        <v>81</v>
      </c>
      <c r="E89" s="3">
        <v>40</v>
      </c>
      <c r="F89" s="3">
        <v>40</v>
      </c>
      <c r="G89" s="3">
        <v>1</v>
      </c>
    </row>
    <row r="90" spans="1:7" x14ac:dyDescent="0.4">
      <c r="A90" t="s">
        <v>221</v>
      </c>
      <c r="B90" t="s">
        <v>211</v>
      </c>
      <c r="C90" t="s">
        <v>212</v>
      </c>
      <c r="D90" t="s">
        <v>84</v>
      </c>
      <c r="E90" s="3">
        <v>40</v>
      </c>
      <c r="F90" s="3">
        <v>40</v>
      </c>
      <c r="G90" s="3">
        <v>1</v>
      </c>
    </row>
    <row r="91" spans="1:7" x14ac:dyDescent="0.4">
      <c r="A91" t="s">
        <v>222</v>
      </c>
      <c r="B91" t="s">
        <v>211</v>
      </c>
      <c r="C91" t="s">
        <v>212</v>
      </c>
      <c r="D91" t="s">
        <v>87</v>
      </c>
      <c r="E91" s="3">
        <v>4</v>
      </c>
      <c r="F91" s="3">
        <v>40</v>
      </c>
      <c r="G91" s="3">
        <v>0.1</v>
      </c>
    </row>
    <row r="92" spans="1:7" x14ac:dyDescent="0.4">
      <c r="A92" t="s">
        <v>223</v>
      </c>
      <c r="B92" t="s">
        <v>211</v>
      </c>
      <c r="C92" t="s">
        <v>212</v>
      </c>
      <c r="D92" t="s">
        <v>90</v>
      </c>
      <c r="E92" s="3">
        <v>1</v>
      </c>
      <c r="F92" s="3">
        <v>40</v>
      </c>
      <c r="G92" s="3">
        <v>2.5000000000000001E-2</v>
      </c>
    </row>
    <row r="93" spans="1:7" x14ac:dyDescent="0.4">
      <c r="A93" t="s">
        <v>224</v>
      </c>
      <c r="B93" t="s">
        <v>211</v>
      </c>
      <c r="C93" t="s">
        <v>212</v>
      </c>
      <c r="D93" t="s">
        <v>93</v>
      </c>
      <c r="E93" s="3">
        <v>28.5</v>
      </c>
      <c r="F93" s="3">
        <v>40</v>
      </c>
      <c r="G93" s="3">
        <v>0.71250000000000002</v>
      </c>
    </row>
    <row r="94" spans="1:7" x14ac:dyDescent="0.4">
      <c r="A94" t="s">
        <v>225</v>
      </c>
      <c r="B94" t="s">
        <v>211</v>
      </c>
      <c r="C94" t="s">
        <v>212</v>
      </c>
      <c r="D94" t="s">
        <v>96</v>
      </c>
      <c r="E94" s="3">
        <v>8</v>
      </c>
      <c r="F94" s="3">
        <v>40</v>
      </c>
      <c r="G94" s="3">
        <v>0.2</v>
      </c>
    </row>
    <row r="95" spans="1:7" x14ac:dyDescent="0.4">
      <c r="A95" t="s">
        <v>226</v>
      </c>
      <c r="B95" t="s">
        <v>211</v>
      </c>
      <c r="C95" t="s">
        <v>212</v>
      </c>
      <c r="D95" t="s">
        <v>99</v>
      </c>
      <c r="E95" s="3">
        <v>4</v>
      </c>
      <c r="F95" s="3">
        <v>40</v>
      </c>
      <c r="G95" s="3">
        <v>0.1</v>
      </c>
    </row>
    <row r="96" spans="1:7" x14ac:dyDescent="0.4">
      <c r="A96" t="s">
        <v>227</v>
      </c>
      <c r="B96" t="s">
        <v>211</v>
      </c>
      <c r="C96" t="s">
        <v>212</v>
      </c>
      <c r="D96" t="s">
        <v>102</v>
      </c>
      <c r="E96" s="3">
        <v>4</v>
      </c>
      <c r="F96" s="3">
        <v>40</v>
      </c>
      <c r="G96" s="3">
        <v>0.1</v>
      </c>
    </row>
    <row r="97" spans="1:7" x14ac:dyDescent="0.4">
      <c r="A97" t="s">
        <v>228</v>
      </c>
      <c r="B97" t="s">
        <v>211</v>
      </c>
      <c r="C97" t="s">
        <v>212</v>
      </c>
      <c r="D97" t="s">
        <v>106</v>
      </c>
      <c r="E97" s="3">
        <v>22</v>
      </c>
      <c r="F97" s="3">
        <v>40</v>
      </c>
      <c r="G97" s="3">
        <v>0.55000000000000004</v>
      </c>
    </row>
    <row r="98" spans="1:7" x14ac:dyDescent="0.4">
      <c r="A98" t="s">
        <v>229</v>
      </c>
      <c r="B98" t="s">
        <v>211</v>
      </c>
      <c r="C98" t="s">
        <v>212</v>
      </c>
      <c r="D98" t="s">
        <v>10</v>
      </c>
      <c r="E98" s="3">
        <v>32</v>
      </c>
      <c r="F98" s="3">
        <v>40</v>
      </c>
      <c r="G98" s="3">
        <v>0.8</v>
      </c>
    </row>
    <row r="99" spans="1:7" x14ac:dyDescent="0.4">
      <c r="A99" t="s">
        <v>230</v>
      </c>
      <c r="B99" t="s">
        <v>211</v>
      </c>
      <c r="C99" t="s">
        <v>212</v>
      </c>
      <c r="D99" t="s">
        <v>13</v>
      </c>
      <c r="E99" s="3">
        <v>40</v>
      </c>
      <c r="F99" s="3">
        <v>40</v>
      </c>
      <c r="G99" s="3">
        <v>1</v>
      </c>
    </row>
    <row r="100" spans="1:7" x14ac:dyDescent="0.4">
      <c r="A100" t="s">
        <v>231</v>
      </c>
      <c r="B100" t="s">
        <v>211</v>
      </c>
      <c r="C100" t="s">
        <v>212</v>
      </c>
      <c r="D100" t="s">
        <v>16</v>
      </c>
      <c r="E100" s="3">
        <v>40</v>
      </c>
      <c r="F100" s="3">
        <v>40</v>
      </c>
      <c r="G100" s="3">
        <v>1</v>
      </c>
    </row>
    <row r="101" spans="1:7" x14ac:dyDescent="0.4">
      <c r="A101" t="s">
        <v>232</v>
      </c>
      <c r="B101" t="s">
        <v>211</v>
      </c>
      <c r="C101" t="s">
        <v>212</v>
      </c>
      <c r="D101" t="s">
        <v>19</v>
      </c>
      <c r="E101" s="3">
        <v>40</v>
      </c>
      <c r="F101" s="3">
        <v>40</v>
      </c>
      <c r="G101" s="3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A1D3-FA2D-491D-B471-E7DC1A3F49EA}">
  <sheetPr codeName="Planilha1"/>
  <dimension ref="A1"/>
  <sheetViews>
    <sheetView workbookViewId="0">
      <selection activeCell="I14" sqref="I14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gundaMacro">
                <anchor moveWithCells="1" sizeWithCells="1">
                  <from>
                    <xdr:col>6</xdr:col>
                    <xdr:colOff>206829</xdr:colOff>
                    <xdr:row>2</xdr:row>
                    <xdr:rowOff>141514</xdr:rowOff>
                  </from>
                  <to>
                    <xdr:col>10</xdr:col>
                    <xdr:colOff>152400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F65C-DDEB-4A16-9E67-D7D602F629A7}">
  <sheetPr codeName="Planilha4"/>
  <dimension ref="C9:O124"/>
  <sheetViews>
    <sheetView showGridLines="0" tabSelected="1" workbookViewId="0">
      <selection activeCell="A51" sqref="A51"/>
    </sheetView>
  </sheetViews>
  <sheetFormatPr defaultRowHeight="14.6" outlineLevelRow="2" x14ac:dyDescent="0.4"/>
  <cols>
    <col min="3" max="3" width="13.23046875" bestFit="1" customWidth="1"/>
    <col min="4" max="4" width="14" bestFit="1" customWidth="1"/>
    <col min="5" max="5" width="19.84375" style="3" bestFit="1" customWidth="1"/>
    <col min="6" max="6" width="17.69140625" style="3" bestFit="1" customWidth="1"/>
    <col min="7" max="7" width="14.84375" style="3" bestFit="1" customWidth="1"/>
    <col min="8" max="15" width="9.23046875" style="3"/>
  </cols>
  <sheetData>
    <row r="9" spans="3:7" ht="18.45" x14ac:dyDescent="0.5">
      <c r="C9" s="7" t="s">
        <v>233</v>
      </c>
      <c r="D9" s="7" t="s">
        <v>0</v>
      </c>
      <c r="E9" s="6" t="s">
        <v>4</v>
      </c>
      <c r="F9" s="6" t="s">
        <v>5</v>
      </c>
      <c r="G9" s="6" t="s">
        <v>6</v>
      </c>
    </row>
    <row r="10" spans="3:7" hidden="1" outlineLevel="2" x14ac:dyDescent="0.4">
      <c r="C10" s="8" t="s">
        <v>267</v>
      </c>
      <c r="D10" s="8" t="s">
        <v>7</v>
      </c>
      <c r="E10" s="9">
        <v>17</v>
      </c>
      <c r="F10" s="9">
        <v>40</v>
      </c>
      <c r="G10" s="9">
        <v>0.42499999999999999</v>
      </c>
    </row>
    <row r="11" spans="3:7" hidden="1" outlineLevel="2" x14ac:dyDescent="0.4">
      <c r="C11" s="8" t="s">
        <v>267</v>
      </c>
      <c r="D11" s="8" t="s">
        <v>11</v>
      </c>
      <c r="E11" s="9">
        <v>14</v>
      </c>
      <c r="F11" s="9">
        <v>40</v>
      </c>
      <c r="G11" s="9">
        <v>0.35</v>
      </c>
    </row>
    <row r="12" spans="3:7" hidden="1" outlineLevel="2" x14ac:dyDescent="0.4">
      <c r="C12" s="8" t="s">
        <v>267</v>
      </c>
      <c r="D12" s="8" t="s">
        <v>14</v>
      </c>
      <c r="E12" s="9">
        <v>16</v>
      </c>
      <c r="F12" s="9">
        <v>40</v>
      </c>
      <c r="G12" s="9">
        <v>0.4</v>
      </c>
    </row>
    <row r="13" spans="3:7" hidden="1" outlineLevel="2" x14ac:dyDescent="0.4">
      <c r="C13" s="8" t="s">
        <v>267</v>
      </c>
      <c r="D13" s="8" t="s">
        <v>17</v>
      </c>
      <c r="E13" s="9">
        <v>6</v>
      </c>
      <c r="F13" s="9">
        <v>40</v>
      </c>
      <c r="G13" s="9">
        <v>0.15</v>
      </c>
    </row>
    <row r="14" spans="3:7" hidden="1" outlineLevel="2" x14ac:dyDescent="0.4">
      <c r="C14" s="8" t="s">
        <v>267</v>
      </c>
      <c r="D14" s="8" t="s">
        <v>20</v>
      </c>
      <c r="E14" s="9">
        <v>40</v>
      </c>
      <c r="F14" s="9">
        <v>40</v>
      </c>
      <c r="G14" s="9">
        <v>1</v>
      </c>
    </row>
    <row r="15" spans="3:7" hidden="1" outlineLevel="2" x14ac:dyDescent="0.4">
      <c r="C15" s="8" t="s">
        <v>267</v>
      </c>
      <c r="D15" s="8" t="s">
        <v>23</v>
      </c>
      <c r="E15" s="9">
        <v>8</v>
      </c>
      <c r="F15" s="9">
        <v>40</v>
      </c>
      <c r="G15" s="9">
        <v>0.2</v>
      </c>
    </row>
    <row r="16" spans="3:7" hidden="1" outlineLevel="2" x14ac:dyDescent="0.4">
      <c r="C16" s="8" t="s">
        <v>267</v>
      </c>
      <c r="D16" s="8" t="s">
        <v>26</v>
      </c>
      <c r="E16" s="9">
        <v>16</v>
      </c>
      <c r="F16" s="9">
        <v>40</v>
      </c>
      <c r="G16" s="9">
        <v>0.4</v>
      </c>
    </row>
    <row r="17" spans="3:7" hidden="1" outlineLevel="2" x14ac:dyDescent="0.4">
      <c r="C17" s="8" t="s">
        <v>267</v>
      </c>
      <c r="D17" s="8" t="s">
        <v>29</v>
      </c>
      <c r="E17" s="9">
        <v>38</v>
      </c>
      <c r="F17" s="9">
        <v>40</v>
      </c>
      <c r="G17" s="9">
        <v>0.95</v>
      </c>
    </row>
    <row r="18" spans="3:7" outlineLevel="1" collapsed="1" x14ac:dyDescent="0.4">
      <c r="C18" s="10" t="s">
        <v>283</v>
      </c>
      <c r="D18" s="8"/>
      <c r="E18" s="9">
        <f>SUBTOTAL(9,E10:E17)</f>
        <v>155</v>
      </c>
      <c r="F18" s="9">
        <f>SUBTOTAL(9,F10:F17)</f>
        <v>320</v>
      </c>
      <c r="G18" s="9">
        <f>SUBTOTAL(9,G10:G17)</f>
        <v>3.875</v>
      </c>
    </row>
    <row r="19" spans="3:7" hidden="1" outlineLevel="2" x14ac:dyDescent="0.4">
      <c r="C19" s="8" t="s">
        <v>234</v>
      </c>
      <c r="D19" s="8" t="s">
        <v>32</v>
      </c>
      <c r="E19" s="9">
        <v>40</v>
      </c>
      <c r="F19" s="9">
        <v>40</v>
      </c>
      <c r="G19" s="9">
        <v>1</v>
      </c>
    </row>
    <row r="20" spans="3:7" hidden="1" outlineLevel="2" x14ac:dyDescent="0.4">
      <c r="C20" s="8" t="s">
        <v>234</v>
      </c>
      <c r="D20" s="8" t="s">
        <v>36</v>
      </c>
      <c r="E20" s="9">
        <v>14</v>
      </c>
      <c r="F20" s="9">
        <v>40</v>
      </c>
      <c r="G20" s="9">
        <v>0.35</v>
      </c>
    </row>
    <row r="21" spans="3:7" hidden="1" outlineLevel="2" x14ac:dyDescent="0.4">
      <c r="C21" s="8" t="s">
        <v>234</v>
      </c>
      <c r="D21" s="8" t="s">
        <v>39</v>
      </c>
      <c r="E21" s="9">
        <v>6</v>
      </c>
      <c r="F21" s="9">
        <v>40</v>
      </c>
      <c r="G21" s="9">
        <v>0.15</v>
      </c>
    </row>
    <row r="22" spans="3:7" hidden="1" outlineLevel="2" x14ac:dyDescent="0.4">
      <c r="C22" s="8" t="s">
        <v>234</v>
      </c>
      <c r="D22" s="8" t="s">
        <v>42</v>
      </c>
      <c r="E22" s="9">
        <v>2</v>
      </c>
      <c r="F22" s="9">
        <v>40</v>
      </c>
      <c r="G22" s="9">
        <v>0.05</v>
      </c>
    </row>
    <row r="23" spans="3:7" outlineLevel="1" collapsed="1" x14ac:dyDescent="0.4">
      <c r="C23" s="10" t="s">
        <v>274</v>
      </c>
      <c r="D23" s="8"/>
      <c r="E23" s="9">
        <f>SUBTOTAL(9,E19:E22)</f>
        <v>62</v>
      </c>
      <c r="F23" s="9">
        <f>SUBTOTAL(9,F19:F22)</f>
        <v>160</v>
      </c>
      <c r="G23" s="9">
        <f>SUBTOTAL(9,G19:G22)</f>
        <v>1.55</v>
      </c>
    </row>
    <row r="24" spans="3:7" hidden="1" outlineLevel="2" x14ac:dyDescent="0.4">
      <c r="C24" s="8" t="s">
        <v>238</v>
      </c>
      <c r="D24" s="8" t="s">
        <v>45</v>
      </c>
      <c r="E24" s="9">
        <v>6</v>
      </c>
      <c r="F24" s="9">
        <v>40</v>
      </c>
      <c r="G24" s="9">
        <v>0.15</v>
      </c>
    </row>
    <row r="25" spans="3:7" hidden="1" outlineLevel="2" x14ac:dyDescent="0.4">
      <c r="C25" s="8" t="s">
        <v>238</v>
      </c>
      <c r="D25" s="8" t="s">
        <v>49</v>
      </c>
      <c r="E25" s="9">
        <v>2</v>
      </c>
      <c r="F25" s="9">
        <v>40</v>
      </c>
      <c r="G25" s="9">
        <v>0.05</v>
      </c>
    </row>
    <row r="26" spans="3:7" hidden="1" outlineLevel="2" x14ac:dyDescent="0.4">
      <c r="C26" s="8" t="s">
        <v>238</v>
      </c>
      <c r="D26" s="8" t="s">
        <v>52</v>
      </c>
      <c r="E26" s="9">
        <v>8</v>
      </c>
      <c r="F26" s="9">
        <v>40</v>
      </c>
      <c r="G26" s="9">
        <v>0.2</v>
      </c>
    </row>
    <row r="27" spans="3:7" hidden="1" outlineLevel="2" x14ac:dyDescent="0.4">
      <c r="C27" s="8" t="s">
        <v>238</v>
      </c>
      <c r="D27" s="8" t="s">
        <v>55</v>
      </c>
      <c r="E27" s="9">
        <v>10</v>
      </c>
      <c r="F27" s="9">
        <v>40</v>
      </c>
      <c r="G27" s="9">
        <v>0.25</v>
      </c>
    </row>
    <row r="28" spans="3:7" hidden="1" outlineLevel="2" x14ac:dyDescent="0.4">
      <c r="C28" s="8" t="s">
        <v>238</v>
      </c>
      <c r="D28" s="8" t="s">
        <v>58</v>
      </c>
      <c r="E28" s="9">
        <v>23</v>
      </c>
      <c r="F28" s="9">
        <v>40</v>
      </c>
      <c r="G28" s="9">
        <v>0.57499999999999996</v>
      </c>
    </row>
    <row r="29" spans="3:7" hidden="1" outlineLevel="2" x14ac:dyDescent="0.4">
      <c r="C29" s="8" t="s">
        <v>238</v>
      </c>
      <c r="D29" s="8" t="s">
        <v>61</v>
      </c>
      <c r="E29" s="9">
        <v>2</v>
      </c>
      <c r="F29" s="9">
        <v>40</v>
      </c>
      <c r="G29" s="9">
        <v>0.05</v>
      </c>
    </row>
    <row r="30" spans="3:7" hidden="1" outlineLevel="2" x14ac:dyDescent="0.4">
      <c r="C30" s="8" t="s">
        <v>238</v>
      </c>
      <c r="D30" s="8" t="s">
        <v>64</v>
      </c>
      <c r="E30" s="9">
        <v>2</v>
      </c>
      <c r="F30" s="9">
        <v>40</v>
      </c>
      <c r="G30" s="9">
        <v>0.05</v>
      </c>
    </row>
    <row r="31" spans="3:7" hidden="1" outlineLevel="2" x14ac:dyDescent="0.4">
      <c r="C31" s="8" t="s">
        <v>238</v>
      </c>
      <c r="D31" s="8" t="s">
        <v>67</v>
      </c>
      <c r="E31" s="9">
        <v>8</v>
      </c>
      <c r="F31" s="9">
        <v>40</v>
      </c>
      <c r="G31" s="9">
        <v>0.2</v>
      </c>
    </row>
    <row r="32" spans="3:7" hidden="1" outlineLevel="2" x14ac:dyDescent="0.4">
      <c r="C32" s="8" t="s">
        <v>238</v>
      </c>
      <c r="D32" s="8" t="s">
        <v>70</v>
      </c>
      <c r="E32" s="9">
        <v>3</v>
      </c>
      <c r="F32" s="9">
        <v>40</v>
      </c>
      <c r="G32" s="9">
        <v>7.4999999999999997E-2</v>
      </c>
    </row>
    <row r="33" spans="3:7" hidden="1" outlineLevel="2" x14ac:dyDescent="0.4">
      <c r="C33" s="8" t="s">
        <v>238</v>
      </c>
      <c r="D33" s="8" t="s">
        <v>73</v>
      </c>
      <c r="E33" s="9">
        <v>3.5</v>
      </c>
      <c r="F33" s="9">
        <v>40</v>
      </c>
      <c r="G33" s="9">
        <v>8.7499999999999994E-2</v>
      </c>
    </row>
    <row r="34" spans="3:7" hidden="1" outlineLevel="2" x14ac:dyDescent="0.4">
      <c r="C34" s="8" t="s">
        <v>238</v>
      </c>
      <c r="D34" s="8" t="s">
        <v>76</v>
      </c>
      <c r="E34" s="9">
        <v>3</v>
      </c>
      <c r="F34" s="9">
        <v>40</v>
      </c>
      <c r="G34" s="9">
        <v>7.4999999999999997E-2</v>
      </c>
    </row>
    <row r="35" spans="3:7" hidden="1" outlineLevel="2" x14ac:dyDescent="0.4">
      <c r="C35" s="8" t="s">
        <v>238</v>
      </c>
      <c r="D35" s="8" t="s">
        <v>79</v>
      </c>
      <c r="E35" s="9">
        <v>6</v>
      </c>
      <c r="F35" s="9">
        <v>40</v>
      </c>
      <c r="G35" s="9">
        <v>0.15</v>
      </c>
    </row>
    <row r="36" spans="3:7" hidden="1" outlineLevel="2" x14ac:dyDescent="0.4">
      <c r="C36" s="8" t="s">
        <v>238</v>
      </c>
      <c r="D36" s="8" t="s">
        <v>82</v>
      </c>
      <c r="E36" s="9">
        <v>5</v>
      </c>
      <c r="F36" s="9">
        <v>40</v>
      </c>
      <c r="G36" s="9">
        <v>0.125</v>
      </c>
    </row>
    <row r="37" spans="3:7" hidden="1" outlineLevel="2" x14ac:dyDescent="0.4">
      <c r="C37" s="8" t="s">
        <v>238</v>
      </c>
      <c r="D37" s="8" t="s">
        <v>85</v>
      </c>
      <c r="E37" s="9">
        <v>16</v>
      </c>
      <c r="F37" s="9">
        <v>40</v>
      </c>
      <c r="G37" s="9">
        <v>0.4</v>
      </c>
    </row>
    <row r="38" spans="3:7" hidden="1" outlineLevel="2" x14ac:dyDescent="0.4">
      <c r="C38" s="8" t="s">
        <v>238</v>
      </c>
      <c r="D38" s="8" t="s">
        <v>88</v>
      </c>
      <c r="E38" s="9">
        <v>40</v>
      </c>
      <c r="F38" s="9">
        <v>40</v>
      </c>
      <c r="G38" s="9">
        <v>1</v>
      </c>
    </row>
    <row r="39" spans="3:7" hidden="1" outlineLevel="2" x14ac:dyDescent="0.4">
      <c r="C39" s="8" t="s">
        <v>238</v>
      </c>
      <c r="D39" s="8" t="s">
        <v>91</v>
      </c>
      <c r="E39" s="9">
        <v>40</v>
      </c>
      <c r="F39" s="9">
        <v>40</v>
      </c>
      <c r="G39" s="9">
        <v>1</v>
      </c>
    </row>
    <row r="40" spans="3:7" hidden="1" outlineLevel="2" x14ac:dyDescent="0.4">
      <c r="C40" s="8" t="s">
        <v>238</v>
      </c>
      <c r="D40" s="8" t="s">
        <v>94</v>
      </c>
      <c r="E40" s="9">
        <v>2</v>
      </c>
      <c r="F40" s="9">
        <v>40</v>
      </c>
      <c r="G40" s="9">
        <v>0.05</v>
      </c>
    </row>
    <row r="41" spans="3:7" hidden="1" outlineLevel="2" x14ac:dyDescent="0.4">
      <c r="C41" s="8" t="s">
        <v>238</v>
      </c>
      <c r="D41" s="8" t="s">
        <v>97</v>
      </c>
      <c r="E41" s="9">
        <v>1</v>
      </c>
      <c r="F41" s="9">
        <v>40</v>
      </c>
      <c r="G41" s="9">
        <v>2.5000000000000001E-2</v>
      </c>
    </row>
    <row r="42" spans="3:7" hidden="1" outlineLevel="2" x14ac:dyDescent="0.4">
      <c r="C42" s="8" t="s">
        <v>238</v>
      </c>
      <c r="D42" s="8" t="s">
        <v>100</v>
      </c>
      <c r="E42" s="9">
        <v>2</v>
      </c>
      <c r="F42" s="9">
        <v>40</v>
      </c>
      <c r="G42" s="9">
        <v>0.05</v>
      </c>
    </row>
    <row r="43" spans="3:7" outlineLevel="1" collapsed="1" x14ac:dyDescent="0.4">
      <c r="C43" s="10" t="s">
        <v>276</v>
      </c>
      <c r="D43" s="8"/>
      <c r="E43" s="9">
        <f>SUBTOTAL(9,E24:E42)</f>
        <v>182.5</v>
      </c>
      <c r="F43" s="9">
        <f>SUBTOTAL(9,F24:F42)</f>
        <v>760</v>
      </c>
      <c r="G43" s="9">
        <f>SUBTOTAL(9,G24:G42)</f>
        <v>4.5625</v>
      </c>
    </row>
    <row r="44" spans="3:7" hidden="1" outlineLevel="2" x14ac:dyDescent="0.4">
      <c r="C44" s="8" t="s">
        <v>268</v>
      </c>
      <c r="D44" s="8" t="s">
        <v>103</v>
      </c>
      <c r="E44" s="9">
        <v>34.5</v>
      </c>
      <c r="F44" s="9">
        <v>40</v>
      </c>
      <c r="G44" s="9">
        <v>0.86250000000000004</v>
      </c>
    </row>
    <row r="45" spans="3:7" hidden="1" outlineLevel="2" x14ac:dyDescent="0.4">
      <c r="C45" s="8" t="s">
        <v>268</v>
      </c>
      <c r="D45" s="8" t="s">
        <v>107</v>
      </c>
      <c r="E45" s="9">
        <v>50</v>
      </c>
      <c r="F45" s="9">
        <v>40</v>
      </c>
      <c r="G45" s="9">
        <v>1.25</v>
      </c>
    </row>
    <row r="46" spans="3:7" hidden="1" outlineLevel="2" x14ac:dyDescent="0.4">
      <c r="C46" s="8" t="s">
        <v>268</v>
      </c>
      <c r="D46" s="8" t="s">
        <v>109</v>
      </c>
      <c r="E46" s="9">
        <v>40</v>
      </c>
      <c r="F46" s="9">
        <v>40</v>
      </c>
      <c r="G46" s="9">
        <v>1</v>
      </c>
    </row>
    <row r="47" spans="3:7" outlineLevel="1" collapsed="1" x14ac:dyDescent="0.4">
      <c r="C47" s="10" t="s">
        <v>284</v>
      </c>
      <c r="D47" s="8"/>
      <c r="E47" s="9">
        <f>SUBTOTAL(9,E44:E46)</f>
        <v>124.5</v>
      </c>
      <c r="F47" s="9">
        <f>SUBTOTAL(9,F44:F46)</f>
        <v>120</v>
      </c>
      <c r="G47" s="9">
        <f>SUBTOTAL(9,G44:G46)</f>
        <v>3.1124999999999998</v>
      </c>
    </row>
    <row r="48" spans="3:7" hidden="1" outlineLevel="2" x14ac:dyDescent="0.4">
      <c r="C48" s="8" t="s">
        <v>254</v>
      </c>
      <c r="D48" s="8" t="s">
        <v>111</v>
      </c>
      <c r="E48" s="9">
        <v>26</v>
      </c>
      <c r="F48" s="9">
        <v>40</v>
      </c>
      <c r="G48" s="9">
        <v>0.65</v>
      </c>
    </row>
    <row r="49" spans="3:7" hidden="1" outlineLevel="2" x14ac:dyDescent="0.4">
      <c r="C49" s="8" t="s">
        <v>254</v>
      </c>
      <c r="D49" s="8" t="s">
        <v>114</v>
      </c>
      <c r="E49" s="9">
        <v>4</v>
      </c>
      <c r="F49" s="9">
        <v>40</v>
      </c>
      <c r="G49" s="9">
        <v>0.1</v>
      </c>
    </row>
    <row r="50" spans="3:7" hidden="1" outlineLevel="2" x14ac:dyDescent="0.4">
      <c r="C50" s="8" t="s">
        <v>254</v>
      </c>
      <c r="D50" s="8" t="s">
        <v>116</v>
      </c>
      <c r="E50" s="9">
        <v>40</v>
      </c>
      <c r="F50" s="9">
        <v>40</v>
      </c>
      <c r="G50" s="9">
        <v>1</v>
      </c>
    </row>
    <row r="51" spans="3:7" outlineLevel="1" collapsed="1" x14ac:dyDescent="0.4">
      <c r="C51" s="10" t="s">
        <v>280</v>
      </c>
      <c r="D51" s="8"/>
      <c r="E51" s="9">
        <f>SUBTOTAL(9,E48:E50)</f>
        <v>70</v>
      </c>
      <c r="F51" s="9">
        <f>SUBTOTAL(9,F48:F50)</f>
        <v>120</v>
      </c>
      <c r="G51" s="9">
        <f>SUBTOTAL(9,G48:G50)</f>
        <v>1.75</v>
      </c>
    </row>
    <row r="52" spans="3:7" hidden="1" outlineLevel="2" x14ac:dyDescent="0.4">
      <c r="C52" s="8" t="s">
        <v>237</v>
      </c>
      <c r="D52" s="8" t="s">
        <v>118</v>
      </c>
      <c r="E52" s="9">
        <v>12</v>
      </c>
      <c r="F52" s="9">
        <v>40</v>
      </c>
      <c r="G52" s="9">
        <v>0.3</v>
      </c>
    </row>
    <row r="53" spans="3:7" hidden="1" outlineLevel="2" x14ac:dyDescent="0.4">
      <c r="C53" s="8" t="s">
        <v>237</v>
      </c>
      <c r="D53" s="8" t="s">
        <v>121</v>
      </c>
      <c r="E53" s="9">
        <v>40</v>
      </c>
      <c r="F53" s="9">
        <v>40</v>
      </c>
      <c r="G53" s="9">
        <v>1</v>
      </c>
    </row>
    <row r="54" spans="3:7" hidden="1" outlineLevel="2" x14ac:dyDescent="0.4">
      <c r="C54" s="8" t="s">
        <v>237</v>
      </c>
      <c r="D54" s="8" t="s">
        <v>123</v>
      </c>
      <c r="E54" s="9">
        <v>28</v>
      </c>
      <c r="F54" s="9">
        <v>40</v>
      </c>
      <c r="G54" s="9">
        <v>0.7</v>
      </c>
    </row>
    <row r="55" spans="3:7" hidden="1" outlineLevel="2" x14ac:dyDescent="0.4">
      <c r="C55" s="8" t="s">
        <v>237</v>
      </c>
      <c r="D55" s="8" t="s">
        <v>125</v>
      </c>
      <c r="E55" s="9">
        <v>39</v>
      </c>
      <c r="F55" s="9">
        <v>40</v>
      </c>
      <c r="G55" s="9">
        <v>0.97499999999999998</v>
      </c>
    </row>
    <row r="56" spans="3:7" hidden="1" outlineLevel="2" x14ac:dyDescent="0.4">
      <c r="C56" s="8" t="s">
        <v>237</v>
      </c>
      <c r="D56" s="8" t="s">
        <v>127</v>
      </c>
      <c r="E56" s="9">
        <v>24</v>
      </c>
      <c r="F56" s="9">
        <v>40</v>
      </c>
      <c r="G56" s="9">
        <v>0.6</v>
      </c>
    </row>
    <row r="57" spans="3:7" outlineLevel="1" collapsed="1" x14ac:dyDescent="0.4">
      <c r="C57" s="10" t="s">
        <v>275</v>
      </c>
      <c r="D57" s="8"/>
      <c r="E57" s="9">
        <f>SUBTOTAL(9,E52:E56)</f>
        <v>143</v>
      </c>
      <c r="F57" s="9">
        <f>SUBTOTAL(9,F52:F56)</f>
        <v>200</v>
      </c>
      <c r="G57" s="9">
        <f>SUBTOTAL(9,G52:G56)</f>
        <v>3.5750000000000002</v>
      </c>
    </row>
    <row r="58" spans="3:7" hidden="1" outlineLevel="2" x14ac:dyDescent="0.4">
      <c r="C58" s="8" t="s">
        <v>273</v>
      </c>
      <c r="D58" s="8" t="s">
        <v>129</v>
      </c>
      <c r="E58" s="9">
        <v>32</v>
      </c>
      <c r="F58" s="9">
        <v>40</v>
      </c>
      <c r="G58" s="9">
        <v>0.8</v>
      </c>
    </row>
    <row r="59" spans="3:7" hidden="1" outlineLevel="2" x14ac:dyDescent="0.4">
      <c r="C59" s="8" t="s">
        <v>273</v>
      </c>
      <c r="D59" s="8" t="s">
        <v>132</v>
      </c>
      <c r="E59" s="9">
        <v>8</v>
      </c>
      <c r="F59" s="9">
        <v>40</v>
      </c>
      <c r="G59" s="9">
        <v>0.2</v>
      </c>
    </row>
    <row r="60" spans="3:7" hidden="1" outlineLevel="2" x14ac:dyDescent="0.4">
      <c r="C60" s="8" t="s">
        <v>273</v>
      </c>
      <c r="D60" s="8" t="s">
        <v>134</v>
      </c>
      <c r="E60" s="9">
        <v>4</v>
      </c>
      <c r="F60" s="9">
        <v>40</v>
      </c>
      <c r="G60" s="9">
        <v>0.1</v>
      </c>
    </row>
    <row r="61" spans="3:7" hidden="1" outlineLevel="2" x14ac:dyDescent="0.4">
      <c r="C61" s="8" t="s">
        <v>273</v>
      </c>
      <c r="D61" s="8" t="s">
        <v>136</v>
      </c>
      <c r="E61" s="9">
        <v>2</v>
      </c>
      <c r="F61" s="9">
        <v>40</v>
      </c>
      <c r="G61" s="9">
        <v>0.05</v>
      </c>
    </row>
    <row r="62" spans="3:7" hidden="1" outlineLevel="2" x14ac:dyDescent="0.4">
      <c r="C62" s="8" t="s">
        <v>273</v>
      </c>
      <c r="D62" s="8" t="s">
        <v>138</v>
      </c>
      <c r="E62" s="9">
        <v>40</v>
      </c>
      <c r="F62" s="9">
        <v>40</v>
      </c>
      <c r="G62" s="9">
        <v>1</v>
      </c>
    </row>
    <row r="63" spans="3:7" outlineLevel="1" collapsed="1" x14ac:dyDescent="0.4">
      <c r="C63" s="10" t="s">
        <v>287</v>
      </c>
      <c r="D63" s="8"/>
      <c r="E63" s="9">
        <f>SUBTOTAL(9,E58:E62)</f>
        <v>86</v>
      </c>
      <c r="F63" s="9">
        <f>SUBTOTAL(9,F58:F62)</f>
        <v>200</v>
      </c>
      <c r="G63" s="9">
        <f>SUBTOTAL(9,G58:G62)</f>
        <v>2.1500000000000004</v>
      </c>
    </row>
    <row r="64" spans="3:7" hidden="1" outlineLevel="2" x14ac:dyDescent="0.4">
      <c r="C64" s="8" t="s">
        <v>247</v>
      </c>
      <c r="D64" s="8" t="s">
        <v>140</v>
      </c>
      <c r="E64" s="9">
        <v>40</v>
      </c>
      <c r="F64" s="9">
        <v>40</v>
      </c>
      <c r="G64" s="9">
        <v>1</v>
      </c>
    </row>
    <row r="65" spans="3:7" hidden="1" outlineLevel="2" x14ac:dyDescent="0.4">
      <c r="C65" s="8" t="s">
        <v>247</v>
      </c>
      <c r="D65" s="8" t="s">
        <v>143</v>
      </c>
      <c r="E65" s="9">
        <v>4</v>
      </c>
      <c r="F65" s="9">
        <v>40</v>
      </c>
      <c r="G65" s="9">
        <v>0.1</v>
      </c>
    </row>
    <row r="66" spans="3:7" hidden="1" outlineLevel="2" x14ac:dyDescent="0.4">
      <c r="C66" s="8" t="s">
        <v>247</v>
      </c>
      <c r="D66" s="8" t="s">
        <v>145</v>
      </c>
      <c r="E66" s="9">
        <v>4</v>
      </c>
      <c r="F66" s="9">
        <v>40</v>
      </c>
      <c r="G66" s="9">
        <v>0.1</v>
      </c>
    </row>
    <row r="67" spans="3:7" hidden="1" outlineLevel="2" x14ac:dyDescent="0.4">
      <c r="C67" s="8" t="s">
        <v>247</v>
      </c>
      <c r="D67" s="8" t="s">
        <v>147</v>
      </c>
      <c r="E67" s="9">
        <v>2</v>
      </c>
      <c r="F67" s="9">
        <v>40</v>
      </c>
      <c r="G67" s="9">
        <v>0.05</v>
      </c>
    </row>
    <row r="68" spans="3:7" outlineLevel="1" collapsed="1" x14ac:dyDescent="0.4">
      <c r="C68" s="10" t="s">
        <v>279</v>
      </c>
      <c r="D68" s="8"/>
      <c r="E68" s="9">
        <f>SUBTOTAL(9,E64:E67)</f>
        <v>50</v>
      </c>
      <c r="F68" s="9">
        <f>SUBTOTAL(9,F64:F67)</f>
        <v>160</v>
      </c>
      <c r="G68" s="9">
        <f>SUBTOTAL(9,G64:G67)</f>
        <v>1.2500000000000002</v>
      </c>
    </row>
    <row r="69" spans="3:7" hidden="1" outlineLevel="2" x14ac:dyDescent="0.4">
      <c r="C69" s="8" t="s">
        <v>262</v>
      </c>
      <c r="D69" s="8" t="s">
        <v>149</v>
      </c>
      <c r="E69" s="9">
        <v>2</v>
      </c>
      <c r="F69" s="9">
        <v>40</v>
      </c>
      <c r="G69" s="9">
        <v>0.05</v>
      </c>
    </row>
    <row r="70" spans="3:7" hidden="1" outlineLevel="2" x14ac:dyDescent="0.4">
      <c r="C70" s="8" t="s">
        <v>262</v>
      </c>
      <c r="D70" s="8" t="s">
        <v>152</v>
      </c>
      <c r="E70" s="9">
        <v>4</v>
      </c>
      <c r="F70" s="9">
        <v>40</v>
      </c>
      <c r="G70" s="9">
        <v>0.1</v>
      </c>
    </row>
    <row r="71" spans="3:7" hidden="1" outlineLevel="2" x14ac:dyDescent="0.4">
      <c r="C71" s="8" t="s">
        <v>262</v>
      </c>
      <c r="D71" s="8" t="s">
        <v>154</v>
      </c>
      <c r="E71" s="9">
        <v>35</v>
      </c>
      <c r="F71" s="9">
        <v>40</v>
      </c>
      <c r="G71" s="9">
        <v>0.875</v>
      </c>
    </row>
    <row r="72" spans="3:7" outlineLevel="1" collapsed="1" x14ac:dyDescent="0.4">
      <c r="C72" s="10" t="s">
        <v>282</v>
      </c>
      <c r="D72" s="8"/>
      <c r="E72" s="9">
        <f>SUBTOTAL(9,E69:E71)</f>
        <v>41</v>
      </c>
      <c r="F72" s="9">
        <f>SUBTOTAL(9,F69:F71)</f>
        <v>120</v>
      </c>
      <c r="G72" s="9">
        <f>SUBTOTAL(9,G69:G71)</f>
        <v>1.0249999999999999</v>
      </c>
    </row>
    <row r="73" spans="3:7" hidden="1" outlineLevel="2" x14ac:dyDescent="0.4">
      <c r="C73" s="8" t="s">
        <v>270</v>
      </c>
      <c r="D73" s="8" t="s">
        <v>156</v>
      </c>
      <c r="E73" s="9">
        <v>6</v>
      </c>
      <c r="F73" s="9">
        <v>40</v>
      </c>
      <c r="G73" s="9">
        <v>0.15</v>
      </c>
    </row>
    <row r="74" spans="3:7" hidden="1" outlineLevel="2" x14ac:dyDescent="0.4">
      <c r="C74" s="8" t="s">
        <v>270</v>
      </c>
      <c r="D74" s="8" t="s">
        <v>159</v>
      </c>
      <c r="E74" s="9">
        <v>11</v>
      </c>
      <c r="F74" s="9">
        <v>40</v>
      </c>
      <c r="G74" s="9">
        <v>0.27500000000000002</v>
      </c>
    </row>
    <row r="75" spans="3:7" hidden="1" outlineLevel="2" x14ac:dyDescent="0.4">
      <c r="C75" s="8" t="s">
        <v>270</v>
      </c>
      <c r="D75" s="8" t="s">
        <v>161</v>
      </c>
      <c r="E75" s="9">
        <v>2</v>
      </c>
      <c r="F75" s="9">
        <v>40</v>
      </c>
      <c r="G75" s="9">
        <v>0.05</v>
      </c>
    </row>
    <row r="76" spans="3:7" hidden="1" outlineLevel="2" x14ac:dyDescent="0.4">
      <c r="C76" s="8" t="s">
        <v>270</v>
      </c>
      <c r="D76" s="8" t="s">
        <v>163</v>
      </c>
      <c r="E76" s="9">
        <v>4</v>
      </c>
      <c r="F76" s="9">
        <v>40</v>
      </c>
      <c r="G76" s="9">
        <v>0.1</v>
      </c>
    </row>
    <row r="77" spans="3:7" hidden="1" outlineLevel="2" x14ac:dyDescent="0.4">
      <c r="C77" s="8" t="s">
        <v>270</v>
      </c>
      <c r="D77" s="8" t="s">
        <v>165</v>
      </c>
      <c r="E77" s="9">
        <v>4</v>
      </c>
      <c r="F77" s="9">
        <v>40</v>
      </c>
      <c r="G77" s="9">
        <v>0.1</v>
      </c>
    </row>
    <row r="78" spans="3:7" hidden="1" outlineLevel="2" x14ac:dyDescent="0.4">
      <c r="C78" s="8" t="s">
        <v>270</v>
      </c>
      <c r="D78" s="8" t="s">
        <v>167</v>
      </c>
      <c r="E78" s="9">
        <v>10</v>
      </c>
      <c r="F78" s="9">
        <v>40</v>
      </c>
      <c r="G78" s="9">
        <v>0.25</v>
      </c>
    </row>
    <row r="79" spans="3:7" hidden="1" outlineLevel="2" x14ac:dyDescent="0.4">
      <c r="C79" s="8" t="s">
        <v>270</v>
      </c>
      <c r="D79" s="8" t="s">
        <v>169</v>
      </c>
      <c r="E79" s="9">
        <v>3</v>
      </c>
      <c r="F79" s="9">
        <v>40</v>
      </c>
      <c r="G79" s="9">
        <v>7.4999999999999997E-2</v>
      </c>
    </row>
    <row r="80" spans="3:7" outlineLevel="1" collapsed="1" x14ac:dyDescent="0.4">
      <c r="C80" s="10" t="s">
        <v>286</v>
      </c>
      <c r="D80" s="8"/>
      <c r="E80" s="9">
        <f>SUBTOTAL(9,E73:E79)</f>
        <v>40</v>
      </c>
      <c r="F80" s="9">
        <f>SUBTOTAL(9,F73:F79)</f>
        <v>280</v>
      </c>
      <c r="G80" s="9">
        <f>SUBTOTAL(9,G73:G79)</f>
        <v>1</v>
      </c>
    </row>
    <row r="81" spans="3:7" hidden="1" outlineLevel="2" x14ac:dyDescent="0.4">
      <c r="C81" s="8" t="s">
        <v>257</v>
      </c>
      <c r="D81" s="8" t="s">
        <v>171</v>
      </c>
      <c r="E81" s="9">
        <v>3</v>
      </c>
      <c r="F81" s="9">
        <v>40</v>
      </c>
      <c r="G81" s="9">
        <v>7.4999999999999997E-2</v>
      </c>
    </row>
    <row r="82" spans="3:7" hidden="1" outlineLevel="2" x14ac:dyDescent="0.4">
      <c r="C82" s="8" t="s">
        <v>257</v>
      </c>
      <c r="D82" s="8" t="s">
        <v>174</v>
      </c>
      <c r="E82" s="9">
        <v>38</v>
      </c>
      <c r="F82" s="9">
        <v>40</v>
      </c>
      <c r="G82" s="9">
        <v>0.95</v>
      </c>
    </row>
    <row r="83" spans="3:7" hidden="1" outlineLevel="2" x14ac:dyDescent="0.4">
      <c r="C83" s="8" t="s">
        <v>257</v>
      </c>
      <c r="D83" s="8" t="s">
        <v>176</v>
      </c>
      <c r="E83" s="9">
        <v>40</v>
      </c>
      <c r="F83" s="9">
        <v>40</v>
      </c>
      <c r="G83" s="9">
        <v>1</v>
      </c>
    </row>
    <row r="84" spans="3:7" outlineLevel="1" collapsed="1" x14ac:dyDescent="0.4">
      <c r="C84" s="10" t="s">
        <v>281</v>
      </c>
      <c r="D84" s="8"/>
      <c r="E84" s="9">
        <f>SUBTOTAL(9,E81:E83)</f>
        <v>81</v>
      </c>
      <c r="F84" s="9">
        <f>SUBTOTAL(9,F81:F83)</f>
        <v>120</v>
      </c>
      <c r="G84" s="9">
        <f>SUBTOTAL(9,G81:G83)</f>
        <v>2.0249999999999999</v>
      </c>
    </row>
    <row r="85" spans="3:7" hidden="1" outlineLevel="2" x14ac:dyDescent="0.4">
      <c r="C85" s="8" t="s">
        <v>269</v>
      </c>
      <c r="D85" s="8" t="s">
        <v>178</v>
      </c>
      <c r="E85" s="9">
        <v>16</v>
      </c>
      <c r="F85" s="9">
        <v>40</v>
      </c>
      <c r="G85" s="9">
        <v>0.4</v>
      </c>
    </row>
    <row r="86" spans="3:7" hidden="1" outlineLevel="2" x14ac:dyDescent="0.4">
      <c r="C86" s="8" t="s">
        <v>269</v>
      </c>
      <c r="D86" s="8" t="s">
        <v>181</v>
      </c>
      <c r="E86" s="9">
        <v>24</v>
      </c>
      <c r="F86" s="9">
        <v>40</v>
      </c>
      <c r="G86" s="9">
        <v>0.6</v>
      </c>
    </row>
    <row r="87" spans="3:7" hidden="1" outlineLevel="2" x14ac:dyDescent="0.4">
      <c r="C87" s="8" t="s">
        <v>269</v>
      </c>
      <c r="D87" s="8" t="s">
        <v>183</v>
      </c>
      <c r="E87" s="9">
        <v>16</v>
      </c>
      <c r="F87" s="9">
        <v>40</v>
      </c>
      <c r="G87" s="9">
        <v>0.4</v>
      </c>
    </row>
    <row r="88" spans="3:7" hidden="1" outlineLevel="2" x14ac:dyDescent="0.4">
      <c r="C88" s="8" t="s">
        <v>269</v>
      </c>
      <c r="D88" s="8" t="s">
        <v>185</v>
      </c>
      <c r="E88" s="9">
        <v>40</v>
      </c>
      <c r="F88" s="9">
        <v>40</v>
      </c>
      <c r="G88" s="9">
        <v>1</v>
      </c>
    </row>
    <row r="89" spans="3:7" outlineLevel="1" collapsed="1" x14ac:dyDescent="0.4">
      <c r="C89" s="10" t="s">
        <v>285</v>
      </c>
      <c r="D89" s="8"/>
      <c r="E89" s="9">
        <f>SUBTOTAL(9,E85:E88)</f>
        <v>96</v>
      </c>
      <c r="F89" s="9">
        <f>SUBTOTAL(9,F85:F88)</f>
        <v>160</v>
      </c>
      <c r="G89" s="9">
        <f>SUBTOTAL(9,G85:G88)</f>
        <v>2.4</v>
      </c>
    </row>
    <row r="90" spans="3:7" hidden="1" outlineLevel="2" x14ac:dyDescent="0.4">
      <c r="C90" s="8" t="s">
        <v>246</v>
      </c>
      <c r="D90" s="8" t="s">
        <v>187</v>
      </c>
      <c r="E90" s="9">
        <v>40</v>
      </c>
      <c r="F90" s="9">
        <v>40</v>
      </c>
      <c r="G90" s="9">
        <v>1</v>
      </c>
    </row>
    <row r="91" spans="3:7" hidden="1" outlineLevel="2" x14ac:dyDescent="0.4">
      <c r="C91" s="8" t="s">
        <v>246</v>
      </c>
      <c r="D91" s="8" t="s">
        <v>190</v>
      </c>
      <c r="E91" s="9">
        <v>40</v>
      </c>
      <c r="F91" s="9">
        <v>40</v>
      </c>
      <c r="G91" s="9">
        <v>1</v>
      </c>
    </row>
    <row r="92" spans="3:7" hidden="1" outlineLevel="2" x14ac:dyDescent="0.4">
      <c r="C92" s="8" t="s">
        <v>246</v>
      </c>
      <c r="D92" s="8" t="s">
        <v>192</v>
      </c>
      <c r="E92" s="9">
        <v>40</v>
      </c>
      <c r="F92" s="9">
        <v>40</v>
      </c>
      <c r="G92" s="9">
        <v>1</v>
      </c>
    </row>
    <row r="93" spans="3:7" hidden="1" outlineLevel="2" x14ac:dyDescent="0.4">
      <c r="C93" s="8" t="s">
        <v>246</v>
      </c>
      <c r="D93" s="8" t="s">
        <v>194</v>
      </c>
      <c r="E93" s="9">
        <v>40</v>
      </c>
      <c r="F93" s="9">
        <v>40</v>
      </c>
      <c r="G93" s="9">
        <v>1</v>
      </c>
    </row>
    <row r="94" spans="3:7" hidden="1" outlineLevel="2" x14ac:dyDescent="0.4">
      <c r="C94" s="8" t="s">
        <v>246</v>
      </c>
      <c r="D94" s="8" t="s">
        <v>196</v>
      </c>
      <c r="E94" s="9">
        <v>40</v>
      </c>
      <c r="F94" s="9">
        <v>40</v>
      </c>
      <c r="G94" s="9">
        <v>1</v>
      </c>
    </row>
    <row r="95" spans="3:7" hidden="1" outlineLevel="2" x14ac:dyDescent="0.4">
      <c r="C95" s="8" t="s">
        <v>246</v>
      </c>
      <c r="D95" s="8" t="s">
        <v>198</v>
      </c>
      <c r="E95" s="9">
        <v>3</v>
      </c>
      <c r="F95" s="9">
        <v>40</v>
      </c>
      <c r="G95" s="9">
        <v>7.4999999999999997E-2</v>
      </c>
    </row>
    <row r="96" spans="3:7" hidden="1" outlineLevel="2" x14ac:dyDescent="0.4">
      <c r="C96" s="8" t="s">
        <v>246</v>
      </c>
      <c r="D96" s="8" t="s">
        <v>200</v>
      </c>
      <c r="E96" s="9">
        <v>5</v>
      </c>
      <c r="F96" s="9">
        <v>40</v>
      </c>
      <c r="G96" s="9">
        <v>0.125</v>
      </c>
    </row>
    <row r="97" spans="3:7" hidden="1" outlineLevel="2" x14ac:dyDescent="0.4">
      <c r="C97" s="8" t="s">
        <v>246</v>
      </c>
      <c r="D97" s="8" t="s">
        <v>202</v>
      </c>
      <c r="E97" s="9">
        <v>24</v>
      </c>
      <c r="F97" s="9">
        <v>40</v>
      </c>
      <c r="G97" s="9">
        <v>0.6</v>
      </c>
    </row>
    <row r="98" spans="3:7" hidden="1" outlineLevel="2" x14ac:dyDescent="0.4">
      <c r="C98" s="8" t="s">
        <v>246</v>
      </c>
      <c r="D98" s="8" t="s">
        <v>204</v>
      </c>
      <c r="E98" s="9">
        <v>3</v>
      </c>
      <c r="F98" s="9">
        <v>40</v>
      </c>
      <c r="G98" s="9">
        <v>7.4999999999999997E-2</v>
      </c>
    </row>
    <row r="99" spans="3:7" hidden="1" outlineLevel="2" x14ac:dyDescent="0.4">
      <c r="C99" s="8" t="s">
        <v>246</v>
      </c>
      <c r="D99" s="8" t="s">
        <v>206</v>
      </c>
      <c r="E99" s="9">
        <v>3</v>
      </c>
      <c r="F99" s="9">
        <v>40</v>
      </c>
      <c r="G99" s="9">
        <v>7.4999999999999997E-2</v>
      </c>
    </row>
    <row r="100" spans="3:7" hidden="1" outlineLevel="2" x14ac:dyDescent="0.4">
      <c r="C100" s="8" t="s">
        <v>246</v>
      </c>
      <c r="D100" s="8" t="s">
        <v>208</v>
      </c>
      <c r="E100" s="9">
        <v>24</v>
      </c>
      <c r="F100" s="9">
        <v>40</v>
      </c>
      <c r="G100" s="9">
        <v>0.6</v>
      </c>
    </row>
    <row r="101" spans="3:7" outlineLevel="1" collapsed="1" x14ac:dyDescent="0.4">
      <c r="C101" s="10" t="s">
        <v>278</v>
      </c>
      <c r="D101" s="8"/>
      <c r="E101" s="9">
        <f>SUBTOTAL(9,E90:E100)</f>
        <v>262</v>
      </c>
      <c r="F101" s="9">
        <f>SUBTOTAL(9,F90:F100)</f>
        <v>440</v>
      </c>
      <c r="G101" s="9">
        <f>SUBTOTAL(9,G90:G100)</f>
        <v>6.55</v>
      </c>
    </row>
    <row r="102" spans="3:7" hidden="1" outlineLevel="2" x14ac:dyDescent="0.4">
      <c r="C102" s="8" t="s">
        <v>243</v>
      </c>
      <c r="D102" s="8" t="s">
        <v>210</v>
      </c>
      <c r="E102" s="9">
        <v>4</v>
      </c>
      <c r="F102" s="9">
        <v>40</v>
      </c>
      <c r="G102" s="9">
        <v>0.1</v>
      </c>
    </row>
    <row r="103" spans="3:7" hidden="1" outlineLevel="2" x14ac:dyDescent="0.4">
      <c r="C103" s="8" t="s">
        <v>243</v>
      </c>
      <c r="D103" s="8" t="s">
        <v>213</v>
      </c>
      <c r="E103" s="9">
        <v>16</v>
      </c>
      <c r="F103" s="9">
        <v>40</v>
      </c>
      <c r="G103" s="9">
        <v>0.4</v>
      </c>
    </row>
    <row r="104" spans="3:7" hidden="1" outlineLevel="2" x14ac:dyDescent="0.4">
      <c r="C104" s="8" t="s">
        <v>243</v>
      </c>
      <c r="D104" s="8" t="s">
        <v>214</v>
      </c>
      <c r="E104" s="9">
        <v>8</v>
      </c>
      <c r="F104" s="9">
        <v>40</v>
      </c>
      <c r="G104" s="9">
        <v>0.2</v>
      </c>
    </row>
    <row r="105" spans="3:7" hidden="1" outlineLevel="2" x14ac:dyDescent="0.4">
      <c r="C105" s="8" t="s">
        <v>243</v>
      </c>
      <c r="D105" s="8" t="s">
        <v>215</v>
      </c>
      <c r="E105" s="9">
        <v>8</v>
      </c>
      <c r="F105" s="9">
        <v>40</v>
      </c>
      <c r="G105" s="9">
        <v>0.2</v>
      </c>
    </row>
    <row r="106" spans="3:7" hidden="1" outlineLevel="2" x14ac:dyDescent="0.4">
      <c r="C106" s="8" t="s">
        <v>243</v>
      </c>
      <c r="D106" s="8" t="s">
        <v>216</v>
      </c>
      <c r="E106" s="9">
        <v>8</v>
      </c>
      <c r="F106" s="9">
        <v>40</v>
      </c>
      <c r="G106" s="9">
        <v>0.2</v>
      </c>
    </row>
    <row r="107" spans="3:7" hidden="1" outlineLevel="2" x14ac:dyDescent="0.4">
      <c r="C107" s="8" t="s">
        <v>243</v>
      </c>
      <c r="D107" s="8" t="s">
        <v>217</v>
      </c>
      <c r="E107" s="9">
        <v>8</v>
      </c>
      <c r="F107" s="9">
        <v>40</v>
      </c>
      <c r="G107" s="9">
        <v>0.2</v>
      </c>
    </row>
    <row r="108" spans="3:7" hidden="1" outlineLevel="2" x14ac:dyDescent="0.4">
      <c r="C108" s="8" t="s">
        <v>243</v>
      </c>
      <c r="D108" s="8" t="s">
        <v>218</v>
      </c>
      <c r="E108" s="9">
        <v>8</v>
      </c>
      <c r="F108" s="9">
        <v>40</v>
      </c>
      <c r="G108" s="9">
        <v>0.2</v>
      </c>
    </row>
    <row r="109" spans="3:7" hidden="1" outlineLevel="2" x14ac:dyDescent="0.4">
      <c r="C109" s="8" t="s">
        <v>243</v>
      </c>
      <c r="D109" s="8" t="s">
        <v>219</v>
      </c>
      <c r="E109" s="9">
        <v>40</v>
      </c>
      <c r="F109" s="9">
        <v>40</v>
      </c>
      <c r="G109" s="9">
        <v>1</v>
      </c>
    </row>
    <row r="110" spans="3:7" hidden="1" outlineLevel="2" x14ac:dyDescent="0.4">
      <c r="C110" s="8" t="s">
        <v>243</v>
      </c>
      <c r="D110" s="8" t="s">
        <v>220</v>
      </c>
      <c r="E110" s="9">
        <v>40</v>
      </c>
      <c r="F110" s="9">
        <v>40</v>
      </c>
      <c r="G110" s="9">
        <v>1</v>
      </c>
    </row>
    <row r="111" spans="3:7" hidden="1" outlineLevel="2" x14ac:dyDescent="0.4">
      <c r="C111" s="8" t="s">
        <v>243</v>
      </c>
      <c r="D111" s="8" t="s">
        <v>221</v>
      </c>
      <c r="E111" s="9">
        <v>40</v>
      </c>
      <c r="F111" s="9">
        <v>40</v>
      </c>
      <c r="G111" s="9">
        <v>1</v>
      </c>
    </row>
    <row r="112" spans="3:7" hidden="1" outlineLevel="2" x14ac:dyDescent="0.4">
      <c r="C112" s="8" t="s">
        <v>243</v>
      </c>
      <c r="D112" s="8" t="s">
        <v>222</v>
      </c>
      <c r="E112" s="9">
        <v>4</v>
      </c>
      <c r="F112" s="9">
        <v>40</v>
      </c>
      <c r="G112" s="9">
        <v>0.1</v>
      </c>
    </row>
    <row r="113" spans="3:7" hidden="1" outlineLevel="2" x14ac:dyDescent="0.4">
      <c r="C113" s="8" t="s">
        <v>243</v>
      </c>
      <c r="D113" s="8" t="s">
        <v>223</v>
      </c>
      <c r="E113" s="9">
        <v>1</v>
      </c>
      <c r="F113" s="9">
        <v>40</v>
      </c>
      <c r="G113" s="9">
        <v>2.5000000000000001E-2</v>
      </c>
    </row>
    <row r="114" spans="3:7" hidden="1" outlineLevel="2" x14ac:dyDescent="0.4">
      <c r="C114" s="8" t="s">
        <v>243</v>
      </c>
      <c r="D114" s="8" t="s">
        <v>224</v>
      </c>
      <c r="E114" s="9">
        <v>28.5</v>
      </c>
      <c r="F114" s="9">
        <v>40</v>
      </c>
      <c r="G114" s="9">
        <v>0.71250000000000002</v>
      </c>
    </row>
    <row r="115" spans="3:7" hidden="1" outlineLevel="2" x14ac:dyDescent="0.4">
      <c r="C115" s="8" t="s">
        <v>243</v>
      </c>
      <c r="D115" s="8" t="s">
        <v>225</v>
      </c>
      <c r="E115" s="9">
        <v>8</v>
      </c>
      <c r="F115" s="9">
        <v>40</v>
      </c>
      <c r="G115" s="9">
        <v>0.2</v>
      </c>
    </row>
    <row r="116" spans="3:7" hidden="1" outlineLevel="2" x14ac:dyDescent="0.4">
      <c r="C116" s="8" t="s">
        <v>243</v>
      </c>
      <c r="D116" s="8" t="s">
        <v>226</v>
      </c>
      <c r="E116" s="9">
        <v>4</v>
      </c>
      <c r="F116" s="9">
        <v>40</v>
      </c>
      <c r="G116" s="9">
        <v>0.1</v>
      </c>
    </row>
    <row r="117" spans="3:7" hidden="1" outlineLevel="2" x14ac:dyDescent="0.4">
      <c r="C117" s="8" t="s">
        <v>243</v>
      </c>
      <c r="D117" s="8" t="s">
        <v>227</v>
      </c>
      <c r="E117" s="9">
        <v>4</v>
      </c>
      <c r="F117" s="9">
        <v>40</v>
      </c>
      <c r="G117" s="9">
        <v>0.1</v>
      </c>
    </row>
    <row r="118" spans="3:7" hidden="1" outlineLevel="2" x14ac:dyDescent="0.4">
      <c r="C118" s="8" t="s">
        <v>243</v>
      </c>
      <c r="D118" s="8" t="s">
        <v>228</v>
      </c>
      <c r="E118" s="9">
        <v>22</v>
      </c>
      <c r="F118" s="9">
        <v>40</v>
      </c>
      <c r="G118" s="9">
        <v>0.55000000000000004</v>
      </c>
    </row>
    <row r="119" spans="3:7" hidden="1" outlineLevel="2" x14ac:dyDescent="0.4">
      <c r="C119" s="8" t="s">
        <v>243</v>
      </c>
      <c r="D119" s="8" t="s">
        <v>229</v>
      </c>
      <c r="E119" s="9">
        <v>32</v>
      </c>
      <c r="F119" s="9">
        <v>40</v>
      </c>
      <c r="G119" s="9">
        <v>0.8</v>
      </c>
    </row>
    <row r="120" spans="3:7" hidden="1" outlineLevel="2" x14ac:dyDescent="0.4">
      <c r="C120" s="8" t="s">
        <v>243</v>
      </c>
      <c r="D120" s="8" t="s">
        <v>230</v>
      </c>
      <c r="E120" s="9">
        <v>40</v>
      </c>
      <c r="F120" s="9">
        <v>40</v>
      </c>
      <c r="G120" s="9">
        <v>1</v>
      </c>
    </row>
    <row r="121" spans="3:7" hidden="1" outlineLevel="2" x14ac:dyDescent="0.4">
      <c r="C121" s="8" t="s">
        <v>243</v>
      </c>
      <c r="D121" s="8" t="s">
        <v>231</v>
      </c>
      <c r="E121" s="9">
        <v>40</v>
      </c>
      <c r="F121" s="9">
        <v>40</v>
      </c>
      <c r="G121" s="9">
        <v>1</v>
      </c>
    </row>
    <row r="122" spans="3:7" hidden="1" outlineLevel="2" x14ac:dyDescent="0.4">
      <c r="C122" s="8" t="s">
        <v>243</v>
      </c>
      <c r="D122" s="8" t="s">
        <v>232</v>
      </c>
      <c r="E122" s="9">
        <v>40</v>
      </c>
      <c r="F122" s="9">
        <v>40</v>
      </c>
      <c r="G122" s="9">
        <v>1</v>
      </c>
    </row>
    <row r="123" spans="3:7" outlineLevel="1" collapsed="1" x14ac:dyDescent="0.4">
      <c r="C123" s="13" t="s">
        <v>277</v>
      </c>
      <c r="D123" s="11"/>
      <c r="E123" s="12">
        <f>SUBTOTAL(9,E102:E122)</f>
        <v>403.5</v>
      </c>
      <c r="F123" s="12">
        <f>SUBTOTAL(9,F102:F122)</f>
        <v>840</v>
      </c>
      <c r="G123" s="12">
        <f>SUBTOTAL(9,G102:G122)</f>
        <v>10.087499999999999</v>
      </c>
    </row>
    <row r="124" spans="3:7" x14ac:dyDescent="0.4">
      <c r="C124" s="13" t="s">
        <v>288</v>
      </c>
      <c r="D124" s="11"/>
      <c r="E124" s="12">
        <f>SUBTOTAL(9,E10:E122)</f>
        <v>1796.5</v>
      </c>
      <c r="F124" s="12">
        <f>SUBTOTAL(9,F10:F122)</f>
        <v>4000</v>
      </c>
      <c r="G124" s="12">
        <f>SUBTOTAL(9,G10:G122)</f>
        <v>44.912500000000037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Estados</vt:lpstr>
      <vt:lpstr>Dados</vt:lpstr>
      <vt:lpstr>Principal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2025-03-17T21:47:12Z</dcterms:created>
  <dcterms:modified xsi:type="dcterms:W3CDTF">2025-03-18T22:23:42Z</dcterms:modified>
</cp:coreProperties>
</file>