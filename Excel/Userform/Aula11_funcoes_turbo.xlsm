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86E46DD7-36A2-4738-A6FF-EE352525180D}" xr6:coauthVersionLast="47" xr6:coauthVersionMax="47" xr10:uidLastSave="{00000000-0000-0000-0000-000000000000}"/>
  <bookViews>
    <workbookView xWindow="-86" yWindow="0" windowWidth="16629" windowHeight="17880" xr2:uid="{C8350C4F-4241-418D-A5EC-BB3C9F9CA1D9}"/>
  </bookViews>
  <sheets>
    <sheet name="PROCV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4" i="1" l="1"/>
  <c r="M5" i="1"/>
  <c r="M6" i="1"/>
  <c r="M7" i="1"/>
  <c r="M3" i="1"/>
  <c r="L4" i="1"/>
  <c r="L5" i="1"/>
  <c r="L6" i="1"/>
  <c r="L7" i="1"/>
  <c r="L3" i="1"/>
  <c r="K4" i="1"/>
  <c r="K5" i="1"/>
  <c r="K6" i="1"/>
  <c r="K7" i="1"/>
  <c r="K3" i="1"/>
  <c r="I4" i="1"/>
  <c r="I5" i="1"/>
  <c r="I6" i="1"/>
  <c r="I7" i="1"/>
  <c r="J4" i="1"/>
  <c r="J5" i="1"/>
  <c r="J6" i="1"/>
  <c r="J7" i="1"/>
  <c r="J3" i="1"/>
  <c r="I3" i="1"/>
</calcChain>
</file>

<file path=xl/sharedStrings.xml><?xml version="1.0" encoding="utf-8"?>
<sst xmlns="http://schemas.openxmlformats.org/spreadsheetml/2006/main" count="62" uniqueCount="46">
  <si>
    <t>Procv</t>
  </si>
  <si>
    <t>CPF</t>
  </si>
  <si>
    <t>123.456.789-10</t>
  </si>
  <si>
    <t>123.456.789-11</t>
  </si>
  <si>
    <t>123.456.789-12</t>
  </si>
  <si>
    <t>123.456.789-13</t>
  </si>
  <si>
    <t>123.456.789-14</t>
  </si>
  <si>
    <t>123.456.789-15</t>
  </si>
  <si>
    <t>123.456.789-16</t>
  </si>
  <si>
    <t>123.456.789-17</t>
  </si>
  <si>
    <t>123.456.789-18</t>
  </si>
  <si>
    <t>123.456.789-19</t>
  </si>
  <si>
    <t>123.456.789-20</t>
  </si>
  <si>
    <t>Estado</t>
  </si>
  <si>
    <t>Cidade</t>
  </si>
  <si>
    <t>Nome</t>
  </si>
  <si>
    <t>Idade</t>
  </si>
  <si>
    <t>Salário</t>
  </si>
  <si>
    <t>Bruna alves</t>
  </si>
  <si>
    <t>Afonso alves</t>
  </si>
  <si>
    <t>Carolina Gois Abreu</t>
  </si>
  <si>
    <t>Henrique Oliveira Silva</t>
  </si>
  <si>
    <t>Kaliane Almeida Abreu</t>
  </si>
  <si>
    <t>Ryan Marryman</t>
  </si>
  <si>
    <t>Robson Martins</t>
  </si>
  <si>
    <t>Thiago Santana Gomes</t>
  </si>
  <si>
    <t>Felipe Borges Aguiar</t>
  </si>
  <si>
    <t>Tiago de Oliveira</t>
  </si>
  <si>
    <t>Frederico Rubens</t>
  </si>
  <si>
    <t>São Paulo</t>
  </si>
  <si>
    <t>Rio de Janeiro</t>
  </si>
  <si>
    <t>Belo Horizonte</t>
  </si>
  <si>
    <t>Salvador</t>
  </si>
  <si>
    <t>Porto Alegre</t>
  </si>
  <si>
    <t>Curitiba</t>
  </si>
  <si>
    <t>Recibe</t>
  </si>
  <si>
    <t>Fortaleza</t>
  </si>
  <si>
    <t>Osasco</t>
  </si>
  <si>
    <t>SP</t>
  </si>
  <si>
    <t>RJ</t>
  </si>
  <si>
    <t>BH</t>
  </si>
  <si>
    <t>BA</t>
  </si>
  <si>
    <t>RS</t>
  </si>
  <si>
    <t>PR</t>
  </si>
  <si>
    <t>PE</t>
  </si>
  <si>
    <t>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</si>
</sst>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4">
    <border>
      <left/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6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</cellXfs>
  <cellStyles count="3">
    <cellStyle name="Moeda" xfId="1" builtinId="4"/>
    <cellStyle name="Moeda 2" xfId="2" xr:uid="{FA2E87F0-D0DB-430E-99E9-57214C37E967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5E282-F859-4D1D-AF46-B74A4424E53A}">
  <sheetPr codeName="Planilha1"/>
  <dimension ref="A1:M13"/>
  <sheetViews>
    <sheetView tabSelected="1" topLeftCell="C1" workbookViewId="0">
      <selection activeCell="K15" sqref="K15"/>
    </sheetView>
  </sheetViews>
  <sheetFormatPr defaultRowHeight="14.6" x14ac:dyDescent="0.4"/>
  <cols>
    <col min="1" max="1" width="13.61328125" bestFit="1" customWidth="1"/>
    <col min="2" max="2" width="6.3828125" bestFit="1" customWidth="1"/>
    <col min="3" max="3" width="12.53515625" bestFit="1" customWidth="1"/>
    <col min="4" max="4" width="19.4609375" bestFit="1" customWidth="1"/>
    <col min="5" max="5" width="5.3046875" bestFit="1" customWidth="1"/>
    <col min="6" max="6" width="11.61328125" bestFit="1" customWidth="1"/>
    <col min="7" max="7" width="10.23046875" bestFit="1" customWidth="1"/>
    <col min="8" max="8" width="13.61328125" bestFit="1" customWidth="1"/>
    <col min="9" max="9" width="6.3828125" bestFit="1" customWidth="1"/>
    <col min="10" max="10" width="11.84375" bestFit="1" customWidth="1"/>
    <col min="11" max="11" width="19.4609375" bestFit="1" customWidth="1"/>
    <col min="12" max="12" width="5.3046875" bestFit="1" customWidth="1"/>
    <col min="13" max="13" width="11.61328125" bestFit="1" customWidth="1"/>
    <col min="18" max="18" width="13.61328125" bestFit="1" customWidth="1"/>
    <col min="19" max="19" width="19.4609375" bestFit="1" customWidth="1"/>
    <col min="20" max="20" width="6.53515625" bestFit="1" customWidth="1"/>
    <col min="21" max="21" width="11.61328125" bestFit="1" customWidth="1"/>
    <col min="23" max="23" width="13.61328125" bestFit="1" customWidth="1"/>
    <col min="24" max="24" width="10.23046875" bestFit="1" customWidth="1"/>
    <col min="25" max="25" width="6.53515625" bestFit="1" customWidth="1"/>
  </cols>
  <sheetData>
    <row r="1" spans="1:13" x14ac:dyDescent="0.4">
      <c r="A1" t="s">
        <v>0</v>
      </c>
    </row>
    <row r="2" spans="1:13" x14ac:dyDescent="0.4">
      <c r="A2" s="3" t="s">
        <v>1</v>
      </c>
      <c r="B2" s="4" t="s">
        <v>13</v>
      </c>
      <c r="C2" s="4" t="s">
        <v>14</v>
      </c>
      <c r="D2" s="4" t="s">
        <v>15</v>
      </c>
      <c r="E2" s="4" t="s">
        <v>16</v>
      </c>
      <c r="F2" s="5" t="s">
        <v>17</v>
      </c>
      <c r="H2" s="3" t="s">
        <v>1</v>
      </c>
      <c r="I2" s="4" t="s">
        <v>13</v>
      </c>
      <c r="J2" s="4" t="s">
        <v>14</v>
      </c>
      <c r="K2" s="4" t="s">
        <v>15</v>
      </c>
      <c r="L2" s="4" t="s">
        <v>16</v>
      </c>
      <c r="M2" s="5" t="s">
        <v>17</v>
      </c>
    </row>
    <row r="3" spans="1:13" x14ac:dyDescent="0.4">
      <c r="A3" t="s">
        <v>2</v>
      </c>
      <c r="B3" t="s">
        <v>38</v>
      </c>
      <c r="C3" t="s">
        <v>29</v>
      </c>
      <c r="D3" t="s">
        <v>18</v>
      </c>
      <c r="E3" s="2">
        <v>47</v>
      </c>
      <c r="F3" s="1">
        <v>4016</v>
      </c>
      <c r="H3" t="s">
        <v>3</v>
      </c>
      <c r="I3" t="str">
        <f>VLOOKUP(H3,PROCV!$A$2:$F$13,2,0)</f>
        <v>RJ</v>
      </c>
      <c r="J3" t="str">
        <f>VLOOKUP(H3,PROCV!$A$2:$F$13,3,0)</f>
        <v>Rio de Janeiro</v>
      </c>
      <c r="K3" t="str">
        <f>VLOOKUP($H3,PROCV!$A$2:$F$13,4,0)</f>
        <v>Afonso alves</v>
      </c>
      <c r="L3">
        <f>VLOOKUP($H3,PROCV!$A$2:$F$13,5,0)</f>
        <v>34</v>
      </c>
      <c r="M3" s="1">
        <f>VLOOKUP($H3,PROCV!$A$2:$F$13,6,0)</f>
        <v>4013</v>
      </c>
    </row>
    <row r="4" spans="1:13" x14ac:dyDescent="0.4">
      <c r="A4" t="s">
        <v>3</v>
      </c>
      <c r="B4" t="s">
        <v>39</v>
      </c>
      <c r="C4" t="s">
        <v>30</v>
      </c>
      <c r="D4" t="s">
        <v>19</v>
      </c>
      <c r="E4" s="2">
        <v>34</v>
      </c>
      <c r="F4" s="1">
        <v>4013</v>
      </c>
      <c r="H4" t="s">
        <v>6</v>
      </c>
      <c r="I4" t="str">
        <f>VLOOKUP(H4,PROCV!$A$2:$F$13,2,0)</f>
        <v>RS</v>
      </c>
      <c r="J4" t="str">
        <f>VLOOKUP(H4,PROCV!$A$2:$F$13,3,0)</f>
        <v>Porto Alegre</v>
      </c>
      <c r="K4" t="str">
        <f>VLOOKUP($H4,PROCV!$A$2:$F$13,4,0)</f>
        <v>Kaliane Almeida Abreu</v>
      </c>
      <c r="L4">
        <f>VLOOKUP($H4,PROCV!$A$2:$F$13,5,0)</f>
        <v>46</v>
      </c>
      <c r="M4" s="1">
        <f>VLOOKUP($H4,PROCV!$A$2:$F$13,6,0)</f>
        <v>4560</v>
      </c>
    </row>
    <row r="5" spans="1:13" x14ac:dyDescent="0.4">
      <c r="A5" t="s">
        <v>4</v>
      </c>
      <c r="B5" t="s">
        <v>40</v>
      </c>
      <c r="C5" t="s">
        <v>31</v>
      </c>
      <c r="D5" t="s">
        <v>20</v>
      </c>
      <c r="E5" s="2">
        <v>27</v>
      </c>
      <c r="F5" s="1">
        <v>2260</v>
      </c>
      <c r="H5" t="s">
        <v>9</v>
      </c>
      <c r="I5" t="str">
        <f>VLOOKUP(H5,PROCV!$A$2:$F$13,2,0)</f>
        <v>CE</v>
      </c>
      <c r="J5" t="str">
        <f>VLOOKUP(H5,PROCV!$A$2:$F$13,3,0)</f>
        <v>Fortaleza</v>
      </c>
      <c r="K5" t="str">
        <f>VLOOKUP($H5,PROCV!$A$2:$F$13,4,0)</f>
        <v>Thiago Santana Gomes</v>
      </c>
      <c r="L5">
        <f>VLOOKUP($H5,PROCV!$A$2:$F$13,5,0)</f>
        <v>46</v>
      </c>
      <c r="M5" s="1">
        <f>VLOOKUP($H5,PROCV!$A$2:$F$13,6,0)</f>
        <v>4578</v>
      </c>
    </row>
    <row r="6" spans="1:13" x14ac:dyDescent="0.4">
      <c r="A6" t="s">
        <v>5</v>
      </c>
      <c r="B6" t="s">
        <v>41</v>
      </c>
      <c r="C6" t="s">
        <v>32</v>
      </c>
      <c r="D6" t="s">
        <v>21</v>
      </c>
      <c r="E6" s="2">
        <v>41</v>
      </c>
      <c r="F6" s="1">
        <v>4244</v>
      </c>
      <c r="H6" t="s">
        <v>11</v>
      </c>
      <c r="I6" t="str">
        <f>VLOOKUP(H6,PROCV!$A$2:$F$13,2,0)</f>
        <v>RJ</v>
      </c>
      <c r="J6" t="str">
        <f>VLOOKUP(H6,PROCV!$A$2:$F$13,3,0)</f>
        <v>Rio de Janeiro</v>
      </c>
      <c r="K6" t="str">
        <f>VLOOKUP($H6,PROCV!$A$2:$F$13,4,0)</f>
        <v>Tiago de Oliveira</v>
      </c>
      <c r="L6">
        <f>VLOOKUP($H6,PROCV!$A$2:$F$13,5,0)</f>
        <v>49</v>
      </c>
      <c r="M6" s="1">
        <f>VLOOKUP($H6,PROCV!$A$2:$F$13,6,0)</f>
        <v>2623</v>
      </c>
    </row>
    <row r="7" spans="1:13" x14ac:dyDescent="0.4">
      <c r="A7" t="s">
        <v>6</v>
      </c>
      <c r="B7" t="s">
        <v>42</v>
      </c>
      <c r="C7" t="s">
        <v>33</v>
      </c>
      <c r="D7" t="s">
        <v>22</v>
      </c>
      <c r="E7" s="2">
        <v>46</v>
      </c>
      <c r="F7" s="1">
        <v>4560</v>
      </c>
      <c r="H7" t="s">
        <v>12</v>
      </c>
      <c r="I7" t="str">
        <f>VLOOKUP(H7,PROCV!$A$2:$F$13,2,0)</f>
        <v>SP</v>
      </c>
      <c r="J7" t="str">
        <f>VLOOKUP(H7,PROCV!$A$2:$F$13,3,0)</f>
        <v>Osasco</v>
      </c>
      <c r="K7" t="str">
        <f>VLOOKUP($H7,PROCV!$A$2:$F$13,4,0)</f>
        <v>Frederico Rubens</v>
      </c>
      <c r="L7">
        <f>VLOOKUP($H7,PROCV!$A$2:$F$13,5,0)</f>
        <v>26</v>
      </c>
      <c r="M7" s="1">
        <f>VLOOKUP($H7,PROCV!$A$2:$F$13,6,0)</f>
        <v>2870</v>
      </c>
    </row>
    <row r="8" spans="1:13" x14ac:dyDescent="0.4">
      <c r="A8" t="s">
        <v>7</v>
      </c>
      <c r="B8" t="s">
        <v>43</v>
      </c>
      <c r="C8" t="s">
        <v>34</v>
      </c>
      <c r="D8" t="s">
        <v>23</v>
      </c>
      <c r="E8" s="2">
        <v>40</v>
      </c>
      <c r="F8" s="1">
        <v>4752</v>
      </c>
    </row>
    <row r="9" spans="1:13" x14ac:dyDescent="0.4">
      <c r="A9" t="s">
        <v>8</v>
      </c>
      <c r="B9" t="s">
        <v>44</v>
      </c>
      <c r="C9" t="s">
        <v>35</v>
      </c>
      <c r="D9" t="s">
        <v>24</v>
      </c>
      <c r="E9" s="2">
        <v>38</v>
      </c>
      <c r="F9" s="1">
        <v>2452</v>
      </c>
    </row>
    <row r="10" spans="1:13" x14ac:dyDescent="0.4">
      <c r="A10" t="s">
        <v>9</v>
      </c>
      <c r="B10" t="s">
        <v>45</v>
      </c>
      <c r="C10" t="s">
        <v>36</v>
      </c>
      <c r="D10" t="s">
        <v>25</v>
      </c>
      <c r="E10" s="2">
        <v>46</v>
      </c>
      <c r="F10" s="1">
        <v>4578</v>
      </c>
    </row>
    <row r="11" spans="1:13" x14ac:dyDescent="0.4">
      <c r="A11" t="s">
        <v>10</v>
      </c>
      <c r="B11" t="s">
        <v>39</v>
      </c>
      <c r="C11" t="s">
        <v>30</v>
      </c>
      <c r="D11" t="s">
        <v>26</v>
      </c>
      <c r="E11" s="2">
        <v>33</v>
      </c>
      <c r="F11" s="1">
        <v>2487</v>
      </c>
    </row>
    <row r="12" spans="1:13" x14ac:dyDescent="0.4">
      <c r="A12" t="s">
        <v>11</v>
      </c>
      <c r="B12" t="s">
        <v>39</v>
      </c>
      <c r="C12" t="s">
        <v>30</v>
      </c>
      <c r="D12" t="s">
        <v>27</v>
      </c>
      <c r="E12" s="2">
        <v>49</v>
      </c>
      <c r="F12" s="1">
        <v>2623</v>
      </c>
    </row>
    <row r="13" spans="1:13" x14ac:dyDescent="0.4">
      <c r="A13" t="s">
        <v>12</v>
      </c>
      <c r="B13" t="s">
        <v>38</v>
      </c>
      <c r="C13" t="s">
        <v>37</v>
      </c>
      <c r="D13" t="s">
        <v>28</v>
      </c>
      <c r="E13" s="2">
        <v>26</v>
      </c>
      <c r="F13" s="1">
        <v>2870</v>
      </c>
    </row>
  </sheetData>
  <phoneticPr fontId="3" type="noConversion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PROCV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2025-01-10T22:28:21Z</dcterms:created>
  <dcterms:modified xsi:type="dcterms:W3CDTF">2025-01-14T03:31:35Z</dcterms:modified>
</cp:coreProperties>
</file>