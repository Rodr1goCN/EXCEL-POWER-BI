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28B03C4A-526A-49C9-9E42-FB7674778FFD}" xr6:coauthVersionLast="47" xr6:coauthVersionMax="47" xr10:uidLastSave="{00000000-0000-0000-0000-000000000000}"/>
  <bookViews>
    <workbookView xWindow="-86" yWindow="0" windowWidth="16629" windowHeight="17880" activeTab="3" xr2:uid="{C8350C4F-4241-418D-A5EC-BB3C9F9CA1D9}"/>
  </bookViews>
  <sheets>
    <sheet name="PROCV" sheetId="1" r:id="rId1"/>
    <sheet name="ÍNDICE CORRESP" sheetId="2" r:id="rId2"/>
    <sheet name="SOMASES" sheetId="3" r:id="rId3"/>
    <sheet name="CONT.SE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I12" i="3" l="1"/>
  <c r="J8" i="3"/>
  <c r="I2" i="3"/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<sst xmlns="http://schemas.openxmlformats.org/spreadsheetml/2006/main" count="380" uniqueCount="153">
  <si>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</si>
  <si>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</si>
  <si>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</si>
  <si>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</si>
  <si>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</si>
  <si>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</si>
  <si>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</si>
  <si>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</si>
  <si>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</si>
  <si>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</si>
  <si>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</si>
  <si>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</si>
  <si>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</si>
  <si>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</si>
  <si>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</si>
  <si>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</si>
  <si>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</si>
  <si>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</si>
  <si>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</si>
  <si>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</si>
  <si>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</si>
  <si>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</si>
  <si>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</si>
  <si>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</si>
  <si>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</si>
  <si>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</si>
  <si>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</si>
  <si>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</si>
  <si>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</si>
  <si>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</si>
  <si>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</si>
  <si>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</si>
  <si>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</si>
  <si>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</si>
  <si>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</si>
  <si>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</si>
  <si>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</si>
  <si>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</si>
  <si>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</si>
  <si>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</si>
  <si>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</si>
  <si>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</si>
  <si>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</si>
  <si>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</si>
  <si>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</si>
  <si>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</si>
  <si>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</si>
  <si>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</si>
  <si>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</si>
  <si>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</si>
  <si>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</si>
  <si>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</si>
  <si>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</si>
  <si>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</si>
  <si>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</si>
  <si>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</si>
  <si>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</si>
  <si>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</si>
  <si>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</si>
  <si>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</si>
  <si>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</si>
  <si>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</si>
  <si>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</si>
  <si>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</si>
  <si>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</si>
  <si>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</si>
  <si>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</si>
  <si>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</si>
  <si>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</si>
  <si>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</si>
  <si>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</si>
  <si>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</si>
  <si>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</si>
  <si>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</si>
  <si>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</si>
  <si>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</si>
  <si>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</si>
  <si>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</si>
  <si>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</si>
  <si>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</si>
  <si>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</si>
  <si>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</si>
  <si>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</si>
  <si>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</si>
  <si>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</si>
  <si>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</si>
  <si>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</si>
  <si>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</si>
  <si>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</si>
  <si>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</si>
  <si>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</si>
  <si>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</si>
  <si>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</si>
  <si>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</si>
  <si>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</si>
  <si>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</si>
  <si>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</si>
  <si>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</si>
  <si>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</si>
  <si>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</si>
  <si>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</si>
  <si>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</si>
  <si>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</si>
  <si>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</si>
  <si>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</si>
  <si>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</si>
  <si>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</si>
  <si>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</si>
  <si>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</si>
  <si>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</si>
  <si>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</si>
  <si>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</si>
  <si>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</si>
  <si>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</si>
  <si>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</si>
  <si>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</si>
  <si>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</si>
  <si>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</si>
  <si>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</si>
  <si>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</si>
  <si>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</si>
  <si>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</si>
  <si>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</si>
  <si>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</si>
  <si>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</si>
  <si>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</si>
  <si>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</si>
  <si>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</si>
  <si>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</si>
  <si>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</si>
  <si>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</si>
  <si>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</si>
  <si>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Cargo</t>
  </si>
  <si>
    <t>Bruna Alves</t>
  </si>
  <si>
    <t>Junior</t>
  </si>
  <si>
    <t>&lt;=23</t>
  </si>
  <si>
    <t>&lt;=2000</t>
  </si>
  <si>
    <t>Clevison Santos</t>
  </si>
  <si>
    <t>Estagiário</t>
  </si>
  <si>
    <t>=SOMASES(D3:D15;C3:C15;F4;D3:D15;G4;B3:B15;H4)</t>
  </si>
  <si>
    <t>Supervisor</t>
  </si>
  <si>
    <t>Pleno</t>
  </si>
  <si>
    <t>Ryan Merryman</t>
  </si>
  <si>
    <t>&lt;=5000</t>
  </si>
  <si>
    <t>Erika Souza Aguiar</t>
  </si>
  <si>
    <t>Senior</t>
  </si>
  <si>
    <t>Data Admissão</t>
  </si>
  <si>
    <t>&gt;=26</t>
  </si>
  <si>
    <t>&lt;=30</t>
  </si>
  <si>
    <t>Afonso Alves</t>
  </si>
  <si>
    <t>=CONT.SES(D4:D16;F5;D4:D16;G5)</t>
  </si>
  <si>
    <t>&gt;=23</t>
  </si>
  <si>
    <t>123.456.789-21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</si>
</sst>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/>
    <xf numFmtId="0" fontId="5" fillId="4" borderId="8" xfId="0" applyFont="1" applyFill="1" applyBorder="1" applyAlignment="1">
      <alignment horizontal="center"/>
    </xf>
    <xf numFmtId="44" fontId="5" fillId="4" borderId="8" xfId="1" applyFont="1" applyFill="1" applyBorder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0" xfId="0" applyFont="1" applyBorder="1"/>
    <xf numFmtId="0" fontId="6" fillId="0" borderId="11" xfId="0" quotePrefix="1" applyFont="1" applyBorder="1"/>
    <xf numFmtId="0" fontId="6" fillId="0" borderId="0" xfId="0" quotePrefix="1" applyFont="1"/>
    <xf numFmtId="0" fontId="6" fillId="0" borderId="9" xfId="0" quotePrefix="1" applyFont="1" applyBorder="1" applyAlignment="1">
      <alignment horizontal="center"/>
    </xf>
    <xf numFmtId="44" fontId="6" fillId="0" borderId="12" xfId="1" quotePrefix="1" applyFont="1" applyBorder="1"/>
    <xf numFmtId="44" fontId="6" fillId="0" borderId="9" xfId="1" quotePrefix="1" applyFont="1" applyBorder="1" applyAlignment="1">
      <alignment horizontal="left"/>
    </xf>
    <xf numFmtId="0" fontId="7" fillId="0" borderId="0" xfId="0" applyFont="1"/>
    <xf numFmtId="14" fontId="6" fillId="0" borderId="9" xfId="0" applyNumberFormat="1" applyFont="1" applyBorder="1" applyAlignment="1">
      <alignment horizontal="center"/>
    </xf>
    <xf numFmtId="0" fontId="6" fillId="0" borderId="9" xfId="0" quotePrefix="1" applyFont="1" applyBorder="1" applyAlignment="1">
      <alignment horizontal="left"/>
    </xf>
    <xf numFmtId="0" fontId="5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49FD-2E25-43D2-877D-52B934212D5B}">
  <sheetPr codeName="Planilha3"/>
  <dimension ref="A1:J13"/>
  <sheetViews>
    <sheetView topLeftCell="B9" workbookViewId="0">
      <selection activeCell="I12" sqref="I12"/>
    </sheetView>
  </sheetViews>
  <sheetFormatPr defaultRowHeight="14.6" x14ac:dyDescent="0.4"/>
  <cols>
    <col min="1" max="1" width="34.84375" bestFit="1" customWidth="1"/>
    <col min="2" max="2" width="16.61328125" bestFit="1" customWidth="1"/>
    <col min="4" max="4" width="14.765625" customWidth="1"/>
    <col min="5" max="5" width="3.3046875" customWidth="1"/>
    <col min="6" max="6" width="10.84375" bestFit="1" customWidth="1"/>
    <col min="7" max="7" width="13.4609375" bestFit="1" customWidth="1"/>
    <col min="8" max="8" width="9.84375" bestFit="1" customWidth="1"/>
    <col min="9" max="9" width="32.07421875" customWidth="1"/>
    <col min="10" max="10" width="13.4609375" bestFit="1" customWidth="1"/>
  </cols>
  <sheetData>
    <row r="1" spans="1:10" ht="15.9" x14ac:dyDescent="0.45">
      <c r="A1" s="20" t="s">
        <v>15</v>
      </c>
      <c r="B1" s="21" t="s">
        <v>132</v>
      </c>
      <c r="C1" s="21" t="s">
        <v>16</v>
      </c>
      <c r="D1" s="22" t="s">
        <v>17</v>
      </c>
      <c r="E1" s="23"/>
      <c r="F1" s="21" t="s">
        <v>16</v>
      </c>
      <c r="G1" s="22" t="s">
        <v>17</v>
      </c>
      <c r="H1" s="21" t="s">
        <v>132</v>
      </c>
      <c r="I1" s="22" t="s">
        <v>17</v>
      </c>
      <c r="J1" s="23"/>
    </row>
    <row r="2" spans="1:10" ht="15.9" x14ac:dyDescent="0.45">
      <c r="A2" s="24" t="s">
        <v>133</v>
      </c>
      <c r="B2" s="25" t="s">
        <v>134</v>
      </c>
      <c r="C2" s="25">
        <v>23</v>
      </c>
      <c r="D2" s="26">
        <v>2000</v>
      </c>
      <c r="E2" s="23"/>
      <c r="F2" s="27" t="s">
        <v>135</v>
      </c>
      <c r="G2" s="28" t="s">
        <v>136</v>
      </c>
      <c r="H2" s="25" t="s">
        <v>134</v>
      </c>
      <c r="I2" s="31">
        <f>SUMIFS(D1:D13,C1:C13,F2,D1:D13,G2,B1:B13,H2)</f>
        <v>2000</v>
      </c>
      <c r="J2" s="29"/>
    </row>
    <row r="3" spans="1:10" ht="15.9" x14ac:dyDescent="0.45">
      <c r="A3" s="24" t="s">
        <v>137</v>
      </c>
      <c r="B3" s="25" t="s">
        <v>138</v>
      </c>
      <c r="C3" s="25">
        <v>23</v>
      </c>
      <c r="D3" s="26">
        <v>100</v>
      </c>
      <c r="E3" s="23"/>
      <c r="F3" s="29"/>
      <c r="G3" s="23"/>
      <c r="H3" s="23"/>
      <c r="I3" s="29" t="s">
        <v>139</v>
      </c>
      <c r="J3" s="23"/>
    </row>
    <row r="4" spans="1:10" ht="15.9" x14ac:dyDescent="0.45">
      <c r="A4" s="24" t="s">
        <v>137</v>
      </c>
      <c r="B4" s="25" t="s">
        <v>140</v>
      </c>
      <c r="C4" s="25">
        <v>24</v>
      </c>
      <c r="D4" s="26">
        <v>5000</v>
      </c>
      <c r="E4" s="23"/>
      <c r="F4" s="23"/>
      <c r="G4" s="23"/>
      <c r="H4" s="23"/>
      <c r="I4" s="23"/>
      <c r="J4" s="23"/>
    </row>
    <row r="5" spans="1:10" ht="15.9" x14ac:dyDescent="0.45">
      <c r="A5" s="24" t="s">
        <v>21</v>
      </c>
      <c r="B5" s="25" t="s">
        <v>141</v>
      </c>
      <c r="C5" s="25">
        <v>23</v>
      </c>
      <c r="D5" s="26">
        <v>100</v>
      </c>
      <c r="E5" s="23"/>
      <c r="F5" s="23"/>
      <c r="G5" s="23"/>
      <c r="H5" s="23"/>
      <c r="I5" s="23"/>
      <c r="J5" s="23"/>
    </row>
    <row r="6" spans="1:10" ht="15.9" x14ac:dyDescent="0.45">
      <c r="A6" s="24" t="s">
        <v>22</v>
      </c>
      <c r="B6" s="25" t="s">
        <v>140</v>
      </c>
      <c r="C6" s="25">
        <v>26</v>
      </c>
      <c r="D6" s="26">
        <v>5000</v>
      </c>
      <c r="E6" s="23"/>
      <c r="F6" s="23"/>
      <c r="G6" s="23"/>
      <c r="H6" s="23"/>
      <c r="I6" s="23"/>
      <c r="J6" s="23"/>
    </row>
    <row r="7" spans="1:10" ht="15.9" x14ac:dyDescent="0.45">
      <c r="A7" s="24" t="s">
        <v>142</v>
      </c>
      <c r="B7" s="25" t="s">
        <v>140</v>
      </c>
      <c r="C7" s="25">
        <v>26</v>
      </c>
      <c r="D7" s="26">
        <v>5000</v>
      </c>
      <c r="E7" s="23"/>
      <c r="F7" s="21" t="s">
        <v>16</v>
      </c>
      <c r="G7" s="22" t="s">
        <v>17</v>
      </c>
      <c r="H7" s="21" t="s">
        <v>132</v>
      </c>
      <c r="I7" s="20" t="s">
        <v>15</v>
      </c>
      <c r="J7" s="22" t="s">
        <v>17</v>
      </c>
    </row>
    <row r="8" spans="1:10" ht="15.9" x14ac:dyDescent="0.45">
      <c r="A8" s="24" t="s">
        <v>24</v>
      </c>
      <c r="B8" s="25" t="s">
        <v>141</v>
      </c>
      <c r="C8" s="25">
        <v>26</v>
      </c>
      <c r="D8" s="26">
        <v>3000</v>
      </c>
      <c r="E8" s="23"/>
      <c r="F8" s="25" t="s">
        <v>135</v>
      </c>
      <c r="G8" s="30" t="s">
        <v>143</v>
      </c>
      <c r="H8" s="25" t="s">
        <v>134</v>
      </c>
      <c r="I8" s="25" t="s">
        <v>133</v>
      </c>
      <c r="J8" s="32">
        <f>SUMIFS(D1:D13,C1:C13,F8,D1:D13,G8,B1:B13,H8,A1:A13,I8)</f>
        <v>2000</v>
      </c>
    </row>
    <row r="9" spans="1:10" ht="15.9" x14ac:dyDescent="0.45">
      <c r="A9" s="24" t="s">
        <v>25</v>
      </c>
      <c r="B9" s="25" t="s">
        <v>141</v>
      </c>
      <c r="C9" s="25">
        <v>26</v>
      </c>
      <c r="D9" s="26">
        <v>3000</v>
      </c>
      <c r="E9" s="23"/>
      <c r="F9" s="23"/>
      <c r="G9" s="23"/>
      <c r="H9" s="23"/>
      <c r="I9" s="23"/>
      <c r="J9" s="23"/>
    </row>
    <row r="10" spans="1:10" ht="15.9" x14ac:dyDescent="0.45">
      <c r="A10" s="24" t="s">
        <v>144</v>
      </c>
      <c r="B10" s="25" t="s">
        <v>141</v>
      </c>
      <c r="C10" s="25">
        <v>26</v>
      </c>
      <c r="D10" s="26">
        <v>3000</v>
      </c>
      <c r="E10" s="23"/>
      <c r="F10" s="23"/>
      <c r="G10" s="23"/>
      <c r="H10" s="23"/>
      <c r="I10" s="23"/>
      <c r="J10" s="23"/>
    </row>
    <row r="11" spans="1:10" ht="15.9" x14ac:dyDescent="0.45">
      <c r="A11" s="24" t="s">
        <v>26</v>
      </c>
      <c r="B11" s="25" t="s">
        <v>145</v>
      </c>
      <c r="C11" s="25">
        <v>26</v>
      </c>
      <c r="D11" s="26">
        <v>4000</v>
      </c>
      <c r="E11" s="23"/>
      <c r="F11" s="21" t="s">
        <v>16</v>
      </c>
      <c r="G11" s="21" t="s">
        <v>132</v>
      </c>
      <c r="H11" s="21" t="s">
        <v>16</v>
      </c>
      <c r="I11" s="22" t="s">
        <v>17</v>
      </c>
      <c r="J11" s="23"/>
    </row>
    <row r="12" spans="1:10" ht="15.9" x14ac:dyDescent="0.45">
      <c r="A12" s="24" t="s">
        <v>144</v>
      </c>
      <c r="B12" s="25" t="s">
        <v>145</v>
      </c>
      <c r="C12" s="25">
        <v>26</v>
      </c>
      <c r="D12" s="26">
        <v>4000</v>
      </c>
      <c r="E12" s="23"/>
      <c r="F12" s="25" t="s">
        <v>136</v>
      </c>
      <c r="G12" s="25" t="s">
        <v>134</v>
      </c>
      <c r="H12" s="25">
        <v>23</v>
      </c>
      <c r="I12" s="30">
        <f>SUMIFS(D1:D13,C1:C13,F12,B1:B13,G12,C1:C13,H12)</f>
        <v>2000</v>
      </c>
      <c r="J12" s="23"/>
    </row>
    <row r="13" spans="1:10" ht="15.9" x14ac:dyDescent="0.45">
      <c r="A13" s="24" t="s">
        <v>28</v>
      </c>
      <c r="B13" s="25" t="s">
        <v>145</v>
      </c>
      <c r="C13" s="25">
        <v>26</v>
      </c>
      <c r="D13" s="26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1E49-AD11-4EF0-B528-F345A1E5672C}">
  <sheetPr codeName="Planilha4"/>
  <dimension ref="A2:H14"/>
  <sheetViews>
    <sheetView tabSelected="1" workbookViewId="0">
      <selection activeCell="G12" sqref="G12"/>
    </sheetView>
  </sheetViews>
  <sheetFormatPr defaultRowHeight="14.6" x14ac:dyDescent="0.4"/>
  <cols>
    <col min="1" max="1" width="16.921875" customWidth="1"/>
    <col min="2" max="2" width="23.07421875" customWidth="1"/>
    <col min="3" max="3" width="13.84375" bestFit="1" customWidth="1"/>
    <col min="4" max="4" width="5.69140625" bestFit="1" customWidth="1"/>
    <col min="5" max="5" width="8.3828125" bestFit="1" customWidth="1"/>
    <col min="8" max="9" width="32" bestFit="1" customWidth="1"/>
  </cols>
  <sheetData>
    <row r="2" spans="1:8" ht="15.9" x14ac:dyDescent="0.45">
      <c r="A2" s="36" t="s">
        <v>1</v>
      </c>
      <c r="B2" s="20" t="s">
        <v>15</v>
      </c>
      <c r="C2" s="21" t="s">
        <v>146</v>
      </c>
      <c r="D2" s="21" t="s">
        <v>16</v>
      </c>
      <c r="F2" s="21" t="s">
        <v>16</v>
      </c>
      <c r="G2" s="21" t="s">
        <v>16</v>
      </c>
      <c r="H2" s="23"/>
    </row>
    <row r="3" spans="1:8" ht="15.9" x14ac:dyDescent="0.45">
      <c r="A3" s="37" t="s">
        <v>2</v>
      </c>
      <c r="B3" s="24" t="s">
        <v>133</v>
      </c>
      <c r="C3" s="34">
        <v>42005</v>
      </c>
      <c r="D3" s="25">
        <v>23</v>
      </c>
      <c r="F3" s="24" t="s">
        <v>147</v>
      </c>
      <c r="G3" s="24" t="s">
        <v>148</v>
      </c>
      <c r="H3" s="35">
        <f>COUNTIFS(D2:D14,F3,D2:D14,G3)</f>
        <v>6</v>
      </c>
    </row>
    <row r="4" spans="1:8" ht="15.9" x14ac:dyDescent="0.45">
      <c r="A4" s="37" t="s">
        <v>3</v>
      </c>
      <c r="B4" s="24" t="s">
        <v>149</v>
      </c>
      <c r="C4" s="34">
        <v>42370</v>
      </c>
      <c r="D4" s="25">
        <v>23</v>
      </c>
      <c r="F4" s="23"/>
      <c r="G4" s="23"/>
      <c r="H4" s="29" t="s">
        <v>150</v>
      </c>
    </row>
    <row r="5" spans="1:8" ht="15.9" x14ac:dyDescent="0.45">
      <c r="A5" s="37" t="s">
        <v>3</v>
      </c>
      <c r="B5" s="24" t="s">
        <v>149</v>
      </c>
      <c r="C5" s="34">
        <v>42735</v>
      </c>
      <c r="D5" s="25">
        <v>23</v>
      </c>
      <c r="F5" s="23"/>
      <c r="G5" s="23"/>
      <c r="H5" s="23"/>
    </row>
    <row r="6" spans="1:8" ht="15.9" x14ac:dyDescent="0.45">
      <c r="A6" s="37" t="s">
        <v>5</v>
      </c>
      <c r="B6" s="24" t="s">
        <v>21</v>
      </c>
      <c r="C6" s="34">
        <v>43100</v>
      </c>
      <c r="D6" s="25">
        <v>26</v>
      </c>
      <c r="F6" s="21" t="s">
        <v>16</v>
      </c>
      <c r="G6" s="21" t="s">
        <v>16</v>
      </c>
      <c r="H6" s="20" t="s">
        <v>15</v>
      </c>
    </row>
    <row r="7" spans="1:8" ht="15.9" x14ac:dyDescent="0.45">
      <c r="A7" s="37" t="s">
        <v>6</v>
      </c>
      <c r="B7" s="24" t="s">
        <v>22</v>
      </c>
      <c r="C7" s="34">
        <v>43465</v>
      </c>
      <c r="D7" s="25">
        <v>26</v>
      </c>
      <c r="F7" s="24" t="s">
        <v>151</v>
      </c>
      <c r="G7" s="24" t="s">
        <v>148</v>
      </c>
      <c r="H7" s="24" t="s">
        <v>149</v>
      </c>
    </row>
    <row r="8" spans="1:8" ht="20.6" x14ac:dyDescent="0.55000000000000004">
      <c r="A8" s="37" t="s">
        <v>7</v>
      </c>
      <c r="B8" s="24" t="s">
        <v>142</v>
      </c>
      <c r="C8" s="34">
        <v>43830</v>
      </c>
      <c r="D8" s="25">
        <v>26</v>
      </c>
      <c r="F8" s="33"/>
    </row>
    <row r="9" spans="1:8" ht="20.6" x14ac:dyDescent="0.55000000000000004">
      <c r="A9" s="37" t="s">
        <v>8</v>
      </c>
      <c r="B9" s="24" t="s">
        <v>24</v>
      </c>
      <c r="C9" s="34">
        <v>44195</v>
      </c>
      <c r="D9" s="25">
        <v>23</v>
      </c>
      <c r="F9" s="33"/>
    </row>
    <row r="10" spans="1:8" ht="20.6" x14ac:dyDescent="0.55000000000000004">
      <c r="A10" s="37" t="s">
        <v>9</v>
      </c>
      <c r="B10" s="24" t="s">
        <v>25</v>
      </c>
      <c r="C10" s="34">
        <v>44560</v>
      </c>
      <c r="D10" s="25">
        <v>30</v>
      </c>
      <c r="F10" s="33"/>
    </row>
    <row r="11" spans="1:8" ht="20.6" x14ac:dyDescent="0.55000000000000004">
      <c r="A11" s="37" t="s">
        <v>10</v>
      </c>
      <c r="B11" s="24" t="s">
        <v>144</v>
      </c>
      <c r="C11" s="34">
        <v>44925</v>
      </c>
      <c r="D11" s="25">
        <v>23</v>
      </c>
      <c r="F11" s="33"/>
    </row>
    <row r="12" spans="1:8" ht="20.6" x14ac:dyDescent="0.55000000000000004">
      <c r="A12" s="37" t="s">
        <v>11</v>
      </c>
      <c r="B12" s="24" t="s">
        <v>26</v>
      </c>
      <c r="C12" s="34">
        <v>45290</v>
      </c>
      <c r="D12" s="25">
        <v>30</v>
      </c>
      <c r="F12" s="33"/>
    </row>
    <row r="13" spans="1:8" ht="20.6" x14ac:dyDescent="0.55000000000000004">
      <c r="A13" s="37" t="s">
        <v>12</v>
      </c>
      <c r="B13" s="24" t="s">
        <v>27</v>
      </c>
      <c r="C13" s="34">
        <v>45655</v>
      </c>
      <c r="D13" s="25">
        <v>45</v>
      </c>
      <c r="F13" s="33"/>
    </row>
    <row r="14" spans="1:8" ht="20.6" x14ac:dyDescent="0.55000000000000004">
      <c r="A14" s="37" t="s">
        <v>152</v>
      </c>
      <c r="B14" s="24" t="s">
        <v>28</v>
      </c>
      <c r="C14" s="34">
        <v>46020</v>
      </c>
      <c r="D14" s="25">
        <v>30</v>
      </c>
      <c r="F14" s="3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PROCV</vt:lpstr>
      <vt:lpstr>ÍNDICE CORRESP</vt:lpstr>
      <vt:lpstr>SOMASES</vt:lpstr>
      <vt:lpstr>CONT.SES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2025-01-20T23:12:55Z</dcterms:modified>
</cp:coreProperties>
</file>