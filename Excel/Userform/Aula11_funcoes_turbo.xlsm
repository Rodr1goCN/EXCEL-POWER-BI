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9ECA9253-DFED-4CC9-BC42-AA5D77A2A6F9}" xr6:coauthVersionLast="47" xr6:coauthVersionMax="47" xr10:uidLastSave="{00000000-0000-0000-0000-000000000000}"/>
  <bookViews>
    <workbookView xWindow="-86" yWindow="0" windowWidth="16629" windowHeight="17880" activeTab="3" xr2:uid="{C8350C4F-4241-418D-A5EC-BB3C9F9CA1D9}"/>
  </bookViews>
  <sheets>
    <sheet name="PROCV" sheetId="1" r:id="rId1"/>
    <sheet name="ÍNDICE CORRESP" sheetId="2" r:id="rId2"/>
    <sheet name="SOMASES" sheetId="3" r:id="rId3"/>
    <sheet name="CONT.SES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4" l="1"/>
  <c r="I12" i="3" l="1"/>
  <c r="J8" i="3"/>
  <c r="I2" i="3"/>
  <c r="J37" i="2" l="1" a="1"/>
  <c r="J37" i="2" s="1"/>
  <c r="J36" i="2" a="1"/>
  <c r="J36" i="2" s="1"/>
  <c r="G22" i="2" a="1"/>
  <c r="G22" i="2" s="1"/>
  <c r="G23" i="2" a="1"/>
  <c r="G23" i="2" s="1"/>
  <c r="G21" i="2" a="1"/>
  <c r="G21" i="2" s="1"/>
  <c r="D3" i="2" a="1"/>
  <c r="D3" i="2" s="1"/>
  <c r="D4" i="2" a="1"/>
  <c r="D4" i="2" s="1"/>
  <c r="D5" i="2" a="1"/>
  <c r="D5" i="2" s="1"/>
  <c r="D2" i="2" a="1"/>
  <c r="D2" i="2" s="1"/>
  <c r="M4" i="1" l="1"/>
  <c r="M5" i="1"/>
  <c r="M6" i="1"/>
  <c r="M7" i="1"/>
  <c r="M3" i="1"/>
  <c r="L4" i="1"/>
  <c r="L5" i="1"/>
  <c r="L6" i="1"/>
  <c r="L7" i="1"/>
  <c r="L3" i="1"/>
  <c r="K4" i="1"/>
  <c r="K5" i="1"/>
  <c r="K6" i="1"/>
  <c r="K7" i="1"/>
  <c r="K3" i="1"/>
  <c r="I4" i="1"/>
  <c r="I5" i="1"/>
  <c r="I6" i="1"/>
  <c r="I7" i="1"/>
  <c r="J4" i="1"/>
  <c r="J5" i="1"/>
  <c r="J6" i="1"/>
  <c r="J7" i="1"/>
  <c r="J3" i="1"/>
  <c r="I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<sst xmlns="http://schemas.openxmlformats.org/spreadsheetml/2006/main" count="380" uniqueCount="153">
  <si>
    <t>Procv</t>
  </si>
  <si>
    <t>CPF</t>
  </si>
  <si>
    <t>123.456.789-10</t>
  </si>
  <si>
    <t>123.456.789-11</t>
  </si>
  <si>
    <t>123.456.789-12</t>
  </si>
  <si>
    <t>123.456.789-13</t>
  </si>
  <si>
    <t>123.456.789-14</t>
  </si>
  <si>
    <t>123.456.789-15</t>
  </si>
  <si>
    <t>123.456.789-16</t>
  </si>
  <si>
    <t>123.456.789-17</t>
  </si>
  <si>
    <t>123.456.789-18</t>
  </si>
  <si>
    <t>123.456.789-19</t>
  </si>
  <si>
    <t>123.456.789-20</t>
  </si>
  <si>
    <t>Estado</t>
  </si>
  <si>
    <t>Cidade</t>
  </si>
  <si>
    <t>Nome</t>
  </si>
  <si>
    <t>Idade</t>
  </si>
  <si>
    <t>Salário</t>
  </si>
  <si>
    <t>Bruna alves</t>
  </si>
  <si>
    <t>Afonso alves</t>
  </si>
  <si>
    <t>Carolina Gois Abreu</t>
  </si>
  <si>
    <t>Henrique Oliveira Silva</t>
  </si>
  <si>
    <t>Kaliane Almeida Abreu</t>
  </si>
  <si>
    <t>Ryan Marryman</t>
  </si>
  <si>
    <t>Robson Martins</t>
  </si>
  <si>
    <t>Thiago Santana Gomes</t>
  </si>
  <si>
    <t>Felipe Borges Aguiar</t>
  </si>
  <si>
    <t>Tiago de Oliveira</t>
  </si>
  <si>
    <t>Frederico Rubens</t>
  </si>
  <si>
    <t>São Paulo</t>
  </si>
  <si>
    <t>Rio de Janeiro</t>
  </si>
  <si>
    <t>Belo Horizonte</t>
  </si>
  <si>
    <t>Salvador</t>
  </si>
  <si>
    <t>Porto Alegre</t>
  </si>
  <si>
    <t>Curitiba</t>
  </si>
  <si>
    <t>Recibe</t>
  </si>
  <si>
    <t>Fortaleza</t>
  </si>
  <si>
    <t>Osasco</t>
  </si>
  <si>
    <t>SP</t>
  </si>
  <si>
    <t>RJ</t>
  </si>
  <si>
    <t>BH</t>
  </si>
  <si>
    <t>BA</t>
  </si>
  <si>
    <t>RS</t>
  </si>
  <si>
    <t>PR</t>
  </si>
  <si>
    <t>PE</t>
  </si>
  <si>
    <t>CE</t>
  </si>
  <si>
    <t>Cliente</t>
  </si>
  <si>
    <t>Sexo</t>
  </si>
  <si>
    <t>Produto</t>
  </si>
  <si>
    <t>Valor</t>
  </si>
  <si>
    <t>Ana</t>
  </si>
  <si>
    <t>Calça Feminina Jogger</t>
  </si>
  <si>
    <t>Feminino</t>
  </si>
  <si>
    <t>Tênis Feminino</t>
  </si>
  <si>
    <t>Iasmin</t>
  </si>
  <si>
    <t>Vestido Infantil</t>
  </si>
  <si>
    <t>Pedro</t>
  </si>
  <si>
    <t>Sapato Social</t>
  </si>
  <si>
    <t>Masculino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</si>
  <si>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</si>
  <si>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</si>
  <si>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</si>
  <si>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</si>
  <si>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</si>
  <si>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</si>
  <si>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</si>
  <si>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</si>
  <si>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</si>
  <si>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</si>
  <si>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ÍNDICE CORRESP com 6 condições</t>
  </si>
  <si>
    <t>Profissão</t>
  </si>
  <si>
    <t>Maria</t>
  </si>
  <si>
    <t>F</t>
  </si>
  <si>
    <t>Médica</t>
  </si>
  <si>
    <t>João</t>
  </si>
  <si>
    <t>M</t>
  </si>
  <si>
    <t>Engenheiro</t>
  </si>
  <si>
    <t>Recife</t>
  </si>
  <si>
    <t>Camila</t>
  </si>
  <si>
    <t>Contadora</t>
  </si>
  <si>
    <t>ES</t>
  </si>
  <si>
    <t>Vitória</t>
  </si>
  <si>
    <t>Laura</t>
  </si>
  <si>
    <t>Arquiteta</t>
  </si>
  <si>
    <t>MG</t>
  </si>
  <si>
    <t>Médico</t>
  </si>
  <si>
    <t>Advogada</t>
  </si>
  <si>
    <t>Professor</t>
  </si>
  <si>
    <t>SC</t>
  </si>
  <si>
    <t>Florianópolis</t>
  </si>
  <si>
    <t>Bruno</t>
  </si>
  <si>
    <t>Empresário</t>
  </si>
  <si>
    <t>Juliana</t>
  </si>
  <si>
    <t>Engenheira</t>
  </si>
  <si>
    <t>Marcos</t>
  </si>
  <si>
    <t>Programador</t>
  </si>
  <si>
    <t>ÍNDICE CORRESP com 9 condições</t>
  </si>
  <si>
    <t>ID do Produto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</si>
  <si>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</si>
  <si>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</si>
  <si>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</si>
  <si>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</si>
  <si>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</si>
  <si>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</si>
  <si>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</si>
  <si>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</si>
  <si>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</si>
  <si>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</si>
  <si>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</si>
  <si>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</si>
  <si>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</si>
  <si>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</si>
  <si>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</si>
  <si>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</si>
  <si>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</si>
  <si>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</si>
  <si>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</si>
  <si>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</si>
  <si>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</si>
  <si>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</si>
  <si>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</si>
  <si>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</si>
  <si>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</si>
  <si>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</si>
  <si>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</si>
  <si>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</si>
  <si>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</si>
  <si>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</si>
  <si>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</si>
  <si>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</si>
  <si>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</si>
  <si>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</si>
  <si>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Cargo</t>
  </si>
  <si>
    <t>Bruna Alves</t>
  </si>
  <si>
    <t>Junior</t>
  </si>
  <si>
    <t>&lt;=23</t>
  </si>
  <si>
    <t>&lt;=2000</t>
  </si>
  <si>
    <t>Clevison Santos</t>
  </si>
  <si>
    <t>Estagiário</t>
  </si>
  <si>
    <t>=SOMASES(D3:D15;C3:C15;F4;D3:D15;G4;B3:B15;H4)</t>
  </si>
  <si>
    <t>Supervisor</t>
  </si>
  <si>
    <t>Pleno</t>
  </si>
  <si>
    <t>Ryan Merryman</t>
  </si>
  <si>
    <t>&lt;=5000</t>
  </si>
  <si>
    <t>Erika Souza Aguiar</t>
  </si>
  <si>
    <t>Senior</t>
  </si>
  <si>
    <t>Data Admissão</t>
  </si>
  <si>
    <t>&gt;=26</t>
  </si>
  <si>
    <t>&lt;=30</t>
  </si>
  <si>
    <t>Afonso Alves</t>
  </si>
  <si>
    <t>=CONT.SES(D4:D16;F5;D4:D16;G5)</t>
  </si>
  <si>
    <t>&gt;=23</t>
  </si>
  <si>
    <t>123.456.789-21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</si>
</sst>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$&quot;\ #,##0;[Red]\-&quot;R$&quot;\ #,##0"/>
    <numFmt numFmtId="44" formatCode="_-&quot;R$&quot;\ * #,##0.00_-;\-&quot;R$&quot;\ * #,##0.00_-;_-&quot;R$&quot;\ * &quot;-&quot;??_-;_-@_-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13">
    <border>
      <left/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  <border>
      <left/>
      <right/>
      <top style="thin">
        <color theme="8" tint="0.7999816888943144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5" xfId="0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0" xfId="0" quotePrefix="1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6" fontId="0" fillId="0" borderId="0" xfId="0" quotePrefix="1" applyNumberFormat="1"/>
    <xf numFmtId="14" fontId="0" fillId="0" borderId="0" xfId="0" applyNumberFormat="1"/>
    <xf numFmtId="6" fontId="4" fillId="0" borderId="0" xfId="0" quotePrefix="1" applyNumberFormat="1" applyFont="1"/>
    <xf numFmtId="0" fontId="4" fillId="0" borderId="0" xfId="0" quotePrefix="1" applyFont="1"/>
    <xf numFmtId="0" fontId="0" fillId="3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4" borderId="8" xfId="0" applyFont="1" applyFill="1" applyBorder="1"/>
    <xf numFmtId="0" fontId="5" fillId="4" borderId="8" xfId="0" applyFont="1" applyFill="1" applyBorder="1" applyAlignment="1">
      <alignment horizontal="center"/>
    </xf>
    <xf numFmtId="44" fontId="5" fillId="4" borderId="8" xfId="1" applyFont="1" applyFill="1" applyBorder="1" applyAlignment="1">
      <alignment horizontal="center"/>
    </xf>
    <xf numFmtId="0" fontId="6" fillId="0" borderId="0" xfId="0" applyFont="1"/>
    <xf numFmtId="0" fontId="6" fillId="0" borderId="9" xfId="0" applyFont="1" applyBorder="1"/>
    <xf numFmtId="0" fontId="6" fillId="0" borderId="9" xfId="0" applyFont="1" applyBorder="1" applyAlignment="1">
      <alignment horizontal="center"/>
    </xf>
    <xf numFmtId="44" fontId="6" fillId="0" borderId="9" xfId="1" applyFont="1" applyBorder="1" applyAlignment="1">
      <alignment horizontal="center"/>
    </xf>
    <xf numFmtId="0" fontId="6" fillId="0" borderId="10" xfId="0" applyFont="1" applyBorder="1"/>
    <xf numFmtId="0" fontId="6" fillId="0" borderId="11" xfId="0" quotePrefix="1" applyFont="1" applyBorder="1"/>
    <xf numFmtId="0" fontId="6" fillId="0" borderId="0" xfId="0" quotePrefix="1" applyFont="1"/>
    <xf numFmtId="0" fontId="6" fillId="0" borderId="9" xfId="0" quotePrefix="1" applyFont="1" applyBorder="1" applyAlignment="1">
      <alignment horizontal="center"/>
    </xf>
    <xf numFmtId="44" fontId="6" fillId="0" borderId="12" xfId="1" quotePrefix="1" applyFont="1" applyBorder="1"/>
    <xf numFmtId="44" fontId="6" fillId="0" borderId="9" xfId="1" quotePrefix="1" applyFont="1" applyBorder="1" applyAlignment="1">
      <alignment horizontal="left"/>
    </xf>
    <xf numFmtId="0" fontId="7" fillId="0" borderId="0" xfId="0" applyFont="1"/>
    <xf numFmtId="14" fontId="6" fillId="0" borderId="9" xfId="0" applyNumberFormat="1" applyFont="1" applyBorder="1" applyAlignment="1">
      <alignment horizontal="center"/>
    </xf>
    <xf numFmtId="0" fontId="6" fillId="0" borderId="9" xfId="0" quotePrefix="1" applyFont="1" applyBorder="1" applyAlignment="1">
      <alignment horizontal="left"/>
    </xf>
    <xf numFmtId="0" fontId="5" fillId="4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</cellXfs>
  <cellStyles count="3">
    <cellStyle name="Moeda" xfId="1" builtinId="4"/>
    <cellStyle name="Moeda 2" xfId="2" xr:uid="{FA2E87F0-D0DB-430E-99E9-57214C37E967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5E282-F859-4D1D-AF46-B74A4424E53A}">
  <sheetPr codeName="Planilha1"/>
  <dimension ref="A1:M13"/>
  <sheetViews>
    <sheetView topLeftCell="C1" workbookViewId="0">
      <selection activeCell="K15" sqref="K15"/>
    </sheetView>
  </sheetViews>
  <sheetFormatPr defaultRowHeight="14.6" x14ac:dyDescent="0.4"/>
  <cols>
    <col min="1" max="1" width="13.61328125" bestFit="1" customWidth="1"/>
    <col min="2" max="2" width="6.3828125" bestFit="1" customWidth="1"/>
    <col min="3" max="3" width="12.53515625" bestFit="1" customWidth="1"/>
    <col min="4" max="4" width="19.4609375" bestFit="1" customWidth="1"/>
    <col min="5" max="5" width="5.3046875" bestFit="1" customWidth="1"/>
    <col min="6" max="6" width="11.61328125" bestFit="1" customWidth="1"/>
    <col min="7" max="7" width="10.23046875" bestFit="1" customWidth="1"/>
    <col min="8" max="8" width="13.61328125" bestFit="1" customWidth="1"/>
    <col min="9" max="9" width="6.3828125" bestFit="1" customWidth="1"/>
    <col min="10" max="10" width="11.84375" bestFit="1" customWidth="1"/>
    <col min="11" max="11" width="19.4609375" bestFit="1" customWidth="1"/>
    <col min="12" max="12" width="5.3046875" bestFit="1" customWidth="1"/>
    <col min="13" max="13" width="11.61328125" bestFit="1" customWidth="1"/>
    <col min="18" max="18" width="13.61328125" bestFit="1" customWidth="1"/>
    <col min="19" max="19" width="19.4609375" bestFit="1" customWidth="1"/>
    <col min="20" max="20" width="6.53515625" bestFit="1" customWidth="1"/>
    <col min="21" max="21" width="11.61328125" bestFit="1" customWidth="1"/>
    <col min="23" max="23" width="13.61328125" bestFit="1" customWidth="1"/>
    <col min="24" max="24" width="10.23046875" bestFit="1" customWidth="1"/>
    <col min="25" max="25" width="6.53515625" bestFit="1" customWidth="1"/>
  </cols>
  <sheetData>
    <row r="1" spans="1:13" x14ac:dyDescent="0.4">
      <c r="A1" t="s">
        <v>0</v>
      </c>
    </row>
    <row r="2" spans="1:13" x14ac:dyDescent="0.4">
      <c r="A2" s="3" t="s">
        <v>1</v>
      </c>
      <c r="B2" s="4" t="s">
        <v>13</v>
      </c>
      <c r="C2" s="4" t="s">
        <v>14</v>
      </c>
      <c r="D2" s="4" t="s">
        <v>15</v>
      </c>
      <c r="E2" s="4" t="s">
        <v>16</v>
      </c>
      <c r="F2" s="5" t="s">
        <v>17</v>
      </c>
      <c r="H2" s="3" t="s">
        <v>1</v>
      </c>
      <c r="I2" s="4" t="s">
        <v>13</v>
      </c>
      <c r="J2" s="4" t="s">
        <v>14</v>
      </c>
      <c r="K2" s="4" t="s">
        <v>15</v>
      </c>
      <c r="L2" s="4" t="s">
        <v>16</v>
      </c>
      <c r="M2" s="5" t="s">
        <v>17</v>
      </c>
    </row>
    <row r="3" spans="1:13" x14ac:dyDescent="0.4">
      <c r="A3" t="s">
        <v>2</v>
      </c>
      <c r="B3" t="s">
        <v>38</v>
      </c>
      <c r="C3" t="s">
        <v>29</v>
      </c>
      <c r="D3" t="s">
        <v>18</v>
      </c>
      <c r="E3" s="2">
        <v>47</v>
      </c>
      <c r="F3" s="1">
        <v>4016</v>
      </c>
      <c r="H3" t="s">
        <v>3</v>
      </c>
      <c r="I3" t="str">
        <f>VLOOKUP(H3,PROCV!$A$2:$F$13,2,0)</f>
        <v>RJ</v>
      </c>
      <c r="J3" t="str">
        <f>VLOOKUP(H3,PROCV!$A$2:$F$13,3,0)</f>
        <v>Rio de Janeiro</v>
      </c>
      <c r="K3" t="str">
        <f>VLOOKUP($H3,PROCV!$A$2:$F$13,4,0)</f>
        <v>Afonso alves</v>
      </c>
      <c r="L3">
        <f>VLOOKUP($H3,PROCV!$A$2:$F$13,5,0)</f>
        <v>34</v>
      </c>
      <c r="M3" s="1">
        <f>VLOOKUP($H3,PROCV!$A$2:$F$13,6,0)</f>
        <v>4013</v>
      </c>
    </row>
    <row r="4" spans="1:13" x14ac:dyDescent="0.4">
      <c r="A4" t="s">
        <v>3</v>
      </c>
      <c r="B4" t="s">
        <v>39</v>
      </c>
      <c r="C4" t="s">
        <v>30</v>
      </c>
      <c r="D4" t="s">
        <v>19</v>
      </c>
      <c r="E4" s="2">
        <v>34</v>
      </c>
      <c r="F4" s="1">
        <v>4013</v>
      </c>
      <c r="H4" t="s">
        <v>6</v>
      </c>
      <c r="I4" t="str">
        <f>VLOOKUP(H4,PROCV!$A$2:$F$13,2,0)</f>
        <v>RS</v>
      </c>
      <c r="J4" t="str">
        <f>VLOOKUP(H4,PROCV!$A$2:$F$13,3,0)</f>
        <v>Porto Alegre</v>
      </c>
      <c r="K4" t="str">
        <f>VLOOKUP($H4,PROCV!$A$2:$F$13,4,0)</f>
        <v>Kaliane Almeida Abreu</v>
      </c>
      <c r="L4">
        <f>VLOOKUP($H4,PROCV!$A$2:$F$13,5,0)</f>
        <v>46</v>
      </c>
      <c r="M4" s="1">
        <f>VLOOKUP($H4,PROCV!$A$2:$F$13,6,0)</f>
        <v>4560</v>
      </c>
    </row>
    <row r="5" spans="1:13" x14ac:dyDescent="0.4">
      <c r="A5" t="s">
        <v>4</v>
      </c>
      <c r="B5" t="s">
        <v>40</v>
      </c>
      <c r="C5" t="s">
        <v>31</v>
      </c>
      <c r="D5" t="s">
        <v>20</v>
      </c>
      <c r="E5" s="2">
        <v>27</v>
      </c>
      <c r="F5" s="1">
        <v>2260</v>
      </c>
      <c r="H5" t="s">
        <v>9</v>
      </c>
      <c r="I5" t="str">
        <f>VLOOKUP(H5,PROCV!$A$2:$F$13,2,0)</f>
        <v>CE</v>
      </c>
      <c r="J5" t="str">
        <f>VLOOKUP(H5,PROCV!$A$2:$F$13,3,0)</f>
        <v>Fortaleza</v>
      </c>
      <c r="K5" t="str">
        <f>VLOOKUP($H5,PROCV!$A$2:$F$13,4,0)</f>
        <v>Thiago Santana Gomes</v>
      </c>
      <c r="L5">
        <f>VLOOKUP($H5,PROCV!$A$2:$F$13,5,0)</f>
        <v>46</v>
      </c>
      <c r="M5" s="1">
        <f>VLOOKUP($H5,PROCV!$A$2:$F$13,6,0)</f>
        <v>4578</v>
      </c>
    </row>
    <row r="6" spans="1:13" x14ac:dyDescent="0.4">
      <c r="A6" t="s">
        <v>5</v>
      </c>
      <c r="B6" t="s">
        <v>41</v>
      </c>
      <c r="C6" t="s">
        <v>32</v>
      </c>
      <c r="D6" t="s">
        <v>21</v>
      </c>
      <c r="E6" s="2">
        <v>41</v>
      </c>
      <c r="F6" s="1">
        <v>4244</v>
      </c>
      <c r="H6" t="s">
        <v>11</v>
      </c>
      <c r="I6" t="str">
        <f>VLOOKUP(H6,PROCV!$A$2:$F$13,2,0)</f>
        <v>RJ</v>
      </c>
      <c r="J6" t="str">
        <f>VLOOKUP(H6,PROCV!$A$2:$F$13,3,0)</f>
        <v>Rio de Janeiro</v>
      </c>
      <c r="K6" t="str">
        <f>VLOOKUP($H6,PROCV!$A$2:$F$13,4,0)</f>
        <v>Tiago de Oliveira</v>
      </c>
      <c r="L6">
        <f>VLOOKUP($H6,PROCV!$A$2:$F$13,5,0)</f>
        <v>49</v>
      </c>
      <c r="M6" s="1">
        <f>VLOOKUP($H6,PROCV!$A$2:$F$13,6,0)</f>
        <v>2623</v>
      </c>
    </row>
    <row r="7" spans="1:13" x14ac:dyDescent="0.4">
      <c r="A7" t="s">
        <v>6</v>
      </c>
      <c r="B7" t="s">
        <v>42</v>
      </c>
      <c r="C7" t="s">
        <v>33</v>
      </c>
      <c r="D7" t="s">
        <v>22</v>
      </c>
      <c r="E7" s="2">
        <v>46</v>
      </c>
      <c r="F7" s="1">
        <v>4560</v>
      </c>
      <c r="H7" t="s">
        <v>12</v>
      </c>
      <c r="I7" t="str">
        <f>VLOOKUP(H7,PROCV!$A$2:$F$13,2,0)</f>
        <v>SP</v>
      </c>
      <c r="J7" t="str">
        <f>VLOOKUP(H7,PROCV!$A$2:$F$13,3,0)</f>
        <v>Osasco</v>
      </c>
      <c r="K7" t="str">
        <f>VLOOKUP($H7,PROCV!$A$2:$F$13,4,0)</f>
        <v>Frederico Rubens</v>
      </c>
      <c r="L7">
        <f>VLOOKUP($H7,PROCV!$A$2:$F$13,5,0)</f>
        <v>26</v>
      </c>
      <c r="M7" s="1">
        <f>VLOOKUP($H7,PROCV!$A$2:$F$13,6,0)</f>
        <v>2870</v>
      </c>
    </row>
    <row r="8" spans="1:13" x14ac:dyDescent="0.4">
      <c r="A8" t="s">
        <v>7</v>
      </c>
      <c r="B8" t="s">
        <v>43</v>
      </c>
      <c r="C8" t="s">
        <v>34</v>
      </c>
      <c r="D8" t="s">
        <v>23</v>
      </c>
      <c r="E8" s="2">
        <v>40</v>
      </c>
      <c r="F8" s="1">
        <v>4752</v>
      </c>
    </row>
    <row r="9" spans="1:13" x14ac:dyDescent="0.4">
      <c r="A9" t="s">
        <v>8</v>
      </c>
      <c r="B9" t="s">
        <v>44</v>
      </c>
      <c r="C9" t="s">
        <v>35</v>
      </c>
      <c r="D9" t="s">
        <v>24</v>
      </c>
      <c r="E9" s="2">
        <v>38</v>
      </c>
      <c r="F9" s="1">
        <v>2452</v>
      </c>
    </row>
    <row r="10" spans="1:13" x14ac:dyDescent="0.4">
      <c r="A10" t="s">
        <v>9</v>
      </c>
      <c r="B10" t="s">
        <v>45</v>
      </c>
      <c r="C10" t="s">
        <v>36</v>
      </c>
      <c r="D10" t="s">
        <v>25</v>
      </c>
      <c r="E10" s="2">
        <v>46</v>
      </c>
      <c r="F10" s="1">
        <v>4578</v>
      </c>
    </row>
    <row r="11" spans="1:13" x14ac:dyDescent="0.4">
      <c r="A11" t="s">
        <v>10</v>
      </c>
      <c r="B11" t="s">
        <v>39</v>
      </c>
      <c r="C11" t="s">
        <v>30</v>
      </c>
      <c r="D11" t="s">
        <v>26</v>
      </c>
      <c r="E11" s="2">
        <v>33</v>
      </c>
      <c r="F11" s="1">
        <v>2487</v>
      </c>
    </row>
    <row r="12" spans="1:13" x14ac:dyDescent="0.4">
      <c r="A12" t="s">
        <v>11</v>
      </c>
      <c r="B12" t="s">
        <v>39</v>
      </c>
      <c r="C12" t="s">
        <v>30</v>
      </c>
      <c r="D12" t="s">
        <v>27</v>
      </c>
      <c r="E12" s="2">
        <v>49</v>
      </c>
      <c r="F12" s="1">
        <v>2623</v>
      </c>
    </row>
    <row r="13" spans="1:13" x14ac:dyDescent="0.4">
      <c r="A13" t="s">
        <v>12</v>
      </c>
      <c r="B13" t="s">
        <v>38</v>
      </c>
      <c r="C13" t="s">
        <v>37</v>
      </c>
      <c r="D13" t="s">
        <v>28</v>
      </c>
      <c r="E13" s="2">
        <v>26</v>
      </c>
      <c r="F13" s="1">
        <v>2870</v>
      </c>
    </row>
  </sheetData>
  <phoneticPr fontId="3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56F98-F6F4-4AAC-8460-6D58D4BF3FC0}">
  <sheetPr codeName="Planilha2"/>
  <dimension ref="A1:U41"/>
  <sheetViews>
    <sheetView topLeftCell="A21" workbookViewId="0">
      <selection activeCell="J36" sqref="J36"/>
    </sheetView>
  </sheetViews>
  <sheetFormatPr defaultColWidth="7.61328125" defaultRowHeight="14.6" x14ac:dyDescent="0.4"/>
  <cols>
    <col min="1" max="1" width="28.921875" bestFit="1" customWidth="1"/>
    <col min="2" max="2" width="21.53515625" bestFit="1" customWidth="1"/>
    <col min="3" max="3" width="18.84375" bestFit="1" customWidth="1"/>
    <col min="4" max="4" width="20.23046875" bestFit="1" customWidth="1"/>
    <col min="5" max="5" width="9.4609375" customWidth="1"/>
    <col min="6" max="6" width="11.07421875" bestFit="1" customWidth="1"/>
    <col min="7" max="8" width="11.3828125" bestFit="1" customWidth="1"/>
    <col min="9" max="9" width="26.69140625" bestFit="1" customWidth="1"/>
    <col min="10" max="10" width="17.3046875" bestFit="1" customWidth="1"/>
    <col min="11" max="11" width="6.765625" bestFit="1" customWidth="1"/>
    <col min="12" max="12" width="11.61328125" bestFit="1" customWidth="1"/>
    <col min="13" max="13" width="21.53515625" bestFit="1" customWidth="1"/>
    <col min="14" max="14" width="15" bestFit="1" customWidth="1"/>
    <col min="15" max="15" width="20.23046875" bestFit="1" customWidth="1"/>
    <col min="16" max="16" width="12.23046875" bestFit="1" customWidth="1"/>
    <col min="17" max="17" width="11.07421875" bestFit="1" customWidth="1"/>
    <col min="18" max="19" width="11.3828125" bestFit="1" customWidth="1"/>
    <col min="20" max="20" width="11.53515625" bestFit="1" customWidth="1"/>
    <col min="21" max="21" width="17.3046875" bestFit="1" customWidth="1"/>
  </cols>
  <sheetData>
    <row r="1" spans="1:9" x14ac:dyDescent="0.4">
      <c r="A1" s="6" t="s">
        <v>46</v>
      </c>
      <c r="B1" s="7" t="s">
        <v>47</v>
      </c>
      <c r="C1" s="6" t="s">
        <v>48</v>
      </c>
      <c r="D1" s="8" t="s">
        <v>49</v>
      </c>
      <c r="F1" s="7" t="s">
        <v>46</v>
      </c>
      <c r="G1" s="8" t="s">
        <v>49</v>
      </c>
      <c r="H1" s="7" t="s">
        <v>47</v>
      </c>
      <c r="I1" s="7" t="s">
        <v>48</v>
      </c>
    </row>
    <row r="2" spans="1:9" x14ac:dyDescent="0.4">
      <c r="A2" s="9" t="s">
        <v>50</v>
      </c>
      <c r="B2" s="10" t="s">
        <v>52</v>
      </c>
      <c r="C2" s="10" t="s">
        <v>51</v>
      </c>
      <c r="D2" s="11" cm="1">
        <f t="array" ref="D2">INDEX($F$1:$I$16, MATCH(A2&amp;B2&amp;C2, $F$1:$F$16&amp;$H$1:$H$16&amp;$I$1:$I$16, 0), 2)</f>
        <v>69</v>
      </c>
      <c r="E2" s="11"/>
      <c r="F2" s="10" t="s">
        <v>50</v>
      </c>
      <c r="G2" s="12">
        <v>89</v>
      </c>
      <c r="H2" s="10" t="s">
        <v>52</v>
      </c>
      <c r="I2" s="10" t="s">
        <v>53</v>
      </c>
    </row>
    <row r="3" spans="1:9" x14ac:dyDescent="0.4">
      <c r="A3" t="s">
        <v>54</v>
      </c>
      <c r="B3" s="10" t="s">
        <v>52</v>
      </c>
      <c r="C3" s="10" t="s">
        <v>55</v>
      </c>
      <c r="D3" s="11" cm="1">
        <f t="array" ref="D3">INDEX($F$1:$I$16, MATCH(A3&amp;B3&amp;C3, $F$1:$F$16&amp;$H$1:$H$16&amp;$I$1:$I$16, 0), 2)</f>
        <v>59</v>
      </c>
      <c r="F3" s="10" t="s">
        <v>50</v>
      </c>
      <c r="G3" s="12">
        <v>69</v>
      </c>
      <c r="H3" s="10" t="s">
        <v>52</v>
      </c>
      <c r="I3" s="10" t="s">
        <v>51</v>
      </c>
    </row>
    <row r="4" spans="1:9" x14ac:dyDescent="0.4">
      <c r="A4" t="s">
        <v>56</v>
      </c>
      <c r="B4" s="10" t="s">
        <v>58</v>
      </c>
      <c r="C4" s="10" t="s">
        <v>57</v>
      </c>
      <c r="D4" s="11" cm="1">
        <f t="array" ref="D4">INDEX($F$1:$I$16, MATCH(A4&amp;B4&amp;C4, $F$1:$F$16&amp;$H$1:$H$16&amp;$I$1:$I$16, 0), 2)</f>
        <v>153</v>
      </c>
      <c r="E4" s="11"/>
      <c r="F4" s="10" t="s">
        <v>56</v>
      </c>
      <c r="G4" s="12">
        <v>153</v>
      </c>
      <c r="H4" s="10" t="s">
        <v>58</v>
      </c>
      <c r="I4" s="10" t="s">
        <v>57</v>
      </c>
    </row>
    <row r="5" spans="1:9" x14ac:dyDescent="0.4">
      <c r="A5" t="s">
        <v>50</v>
      </c>
      <c r="B5" s="10" t="s">
        <v>52</v>
      </c>
      <c r="C5" s="10" t="s">
        <v>53</v>
      </c>
      <c r="D5" s="11" cm="1">
        <f t="array" ref="D5">INDEX($F$1:$I$16, MATCH(A5&amp;B5&amp;C5, $F$1:$F$16&amp;$H$1:$H$16&amp;$I$1:$I$16, 0), 2)</f>
        <v>89</v>
      </c>
      <c r="F5" s="10" t="s">
        <v>54</v>
      </c>
      <c r="G5" s="12">
        <v>148</v>
      </c>
      <c r="H5" s="10" t="s">
        <v>52</v>
      </c>
      <c r="I5" s="10" t="s">
        <v>59</v>
      </c>
    </row>
    <row r="6" spans="1:9" x14ac:dyDescent="0.4">
      <c r="C6" s="2"/>
      <c r="D6" s="13"/>
      <c r="E6" s="11"/>
      <c r="F6" s="10" t="s">
        <v>50</v>
      </c>
      <c r="G6" s="12">
        <v>146</v>
      </c>
      <c r="H6" s="10" t="s">
        <v>52</v>
      </c>
      <c r="I6" s="10" t="s">
        <v>60</v>
      </c>
    </row>
    <row r="7" spans="1:9" x14ac:dyDescent="0.4">
      <c r="F7" s="10" t="s">
        <v>54</v>
      </c>
      <c r="G7" s="12">
        <v>224</v>
      </c>
      <c r="H7" s="10" t="s">
        <v>52</v>
      </c>
      <c r="I7" s="10" t="s">
        <v>61</v>
      </c>
    </row>
    <row r="8" spans="1:9" x14ac:dyDescent="0.4">
      <c r="F8" s="10" t="s">
        <v>56</v>
      </c>
      <c r="G8" s="12">
        <v>150</v>
      </c>
      <c r="H8" s="10" t="s">
        <v>58</v>
      </c>
      <c r="I8" s="10" t="s">
        <v>62</v>
      </c>
    </row>
    <row r="9" spans="1:9" x14ac:dyDescent="0.4">
      <c r="C9" s="2"/>
      <c r="F9" s="10" t="s">
        <v>50</v>
      </c>
      <c r="G9" s="12">
        <v>248</v>
      </c>
      <c r="H9" s="10" t="s">
        <v>52</v>
      </c>
      <c r="I9" s="10" t="s">
        <v>63</v>
      </c>
    </row>
    <row r="10" spans="1:9" x14ac:dyDescent="0.4">
      <c r="C10" s="2"/>
      <c r="F10" s="10" t="s">
        <v>50</v>
      </c>
      <c r="G10" s="12">
        <v>116</v>
      </c>
      <c r="H10" s="10" t="s">
        <v>52</v>
      </c>
      <c r="I10" s="10" t="s">
        <v>64</v>
      </c>
    </row>
    <row r="11" spans="1:9" x14ac:dyDescent="0.4">
      <c r="A11" s="11"/>
      <c r="C11" s="2"/>
      <c r="F11" s="10" t="s">
        <v>54</v>
      </c>
      <c r="G11" s="12">
        <v>59</v>
      </c>
      <c r="H11" s="10" t="s">
        <v>52</v>
      </c>
      <c r="I11" s="10" t="s">
        <v>55</v>
      </c>
    </row>
    <row r="12" spans="1:9" x14ac:dyDescent="0.4">
      <c r="C12" s="2"/>
      <c r="F12" s="10" t="s">
        <v>56</v>
      </c>
      <c r="G12" s="12">
        <v>46</v>
      </c>
      <c r="H12" s="10" t="s">
        <v>58</v>
      </c>
      <c r="I12" s="10" t="s">
        <v>65</v>
      </c>
    </row>
    <row r="13" spans="1:9" x14ac:dyDescent="0.4">
      <c r="C13" s="2"/>
      <c r="F13" s="10" t="s">
        <v>50</v>
      </c>
      <c r="G13" s="12">
        <v>41</v>
      </c>
      <c r="H13" s="10" t="s">
        <v>52</v>
      </c>
      <c r="I13" s="10" t="s">
        <v>66</v>
      </c>
    </row>
    <row r="14" spans="1:9" x14ac:dyDescent="0.4">
      <c r="C14" s="2"/>
      <c r="F14" s="10" t="s">
        <v>50</v>
      </c>
      <c r="G14" s="12">
        <v>81</v>
      </c>
      <c r="H14" s="10" t="s">
        <v>52</v>
      </c>
      <c r="I14" s="10" t="s">
        <v>57</v>
      </c>
    </row>
    <row r="15" spans="1:9" x14ac:dyDescent="0.4">
      <c r="C15" s="2"/>
      <c r="F15" s="10" t="s">
        <v>54</v>
      </c>
      <c r="G15" s="12">
        <v>55</v>
      </c>
      <c r="H15" s="10" t="s">
        <v>52</v>
      </c>
      <c r="I15" s="10" t="s">
        <v>67</v>
      </c>
    </row>
    <row r="16" spans="1:9" x14ac:dyDescent="0.4">
      <c r="C16" s="2"/>
      <c r="F16" s="10" t="s">
        <v>56</v>
      </c>
      <c r="G16" s="12">
        <v>89</v>
      </c>
      <c r="H16" s="10" t="s">
        <v>58</v>
      </c>
      <c r="I16" s="10" t="s">
        <v>68</v>
      </c>
    </row>
    <row r="17" spans="1:15" x14ac:dyDescent="0.4">
      <c r="C17" s="2"/>
      <c r="G17" s="2"/>
      <c r="H17" s="2"/>
    </row>
    <row r="18" spans="1:15" x14ac:dyDescent="0.4">
      <c r="C18" s="2"/>
      <c r="G18" s="2"/>
    </row>
    <row r="19" spans="1:15" x14ac:dyDescent="0.4">
      <c r="A19" t="s">
        <v>69</v>
      </c>
      <c r="C19" s="2"/>
      <c r="G19" s="2"/>
    </row>
    <row r="20" spans="1:15" x14ac:dyDescent="0.4">
      <c r="A20" s="7" t="s">
        <v>13</v>
      </c>
      <c r="B20" s="8" t="s">
        <v>14</v>
      </c>
      <c r="C20" s="7" t="s">
        <v>15</v>
      </c>
      <c r="D20" s="7" t="s">
        <v>16</v>
      </c>
      <c r="E20" s="7" t="s">
        <v>47</v>
      </c>
      <c r="F20" s="7" t="s">
        <v>70</v>
      </c>
      <c r="G20" s="7" t="s">
        <v>17</v>
      </c>
      <c r="I20" s="7" t="s">
        <v>13</v>
      </c>
      <c r="J20" s="8" t="s">
        <v>14</v>
      </c>
      <c r="K20" s="7" t="s">
        <v>15</v>
      </c>
      <c r="L20" s="18" t="s">
        <v>16</v>
      </c>
      <c r="M20" s="18" t="s">
        <v>47</v>
      </c>
      <c r="N20" s="7" t="s">
        <v>70</v>
      </c>
      <c r="O20" s="7" t="s">
        <v>17</v>
      </c>
    </row>
    <row r="21" spans="1:15" ht="18.45" x14ac:dyDescent="0.5">
      <c r="A21" t="s">
        <v>39</v>
      </c>
      <c r="B21" t="s">
        <v>30</v>
      </c>
      <c r="C21" t="s">
        <v>71</v>
      </c>
      <c r="D21">
        <v>28</v>
      </c>
      <c r="E21" t="s">
        <v>72</v>
      </c>
      <c r="F21" t="s">
        <v>73</v>
      </c>
      <c r="G21" s="16" cm="1">
        <f t="array" ref="G21">INDEX($I$20:$O$30, MATCH(A21&amp;B21&amp;C21&amp;D21&amp;E21&amp;F21, $I$20:$I$30&amp;$J$20:$J$30&amp;$K$20:$K$30&amp;$L$20:$L$30&amp;$M$20:$M$30&amp;$N$20:$N$30, 0), 7)</f>
        <v>59865</v>
      </c>
      <c r="I21" t="s">
        <v>38</v>
      </c>
      <c r="J21" t="s">
        <v>29</v>
      </c>
      <c r="K21" t="s">
        <v>74</v>
      </c>
      <c r="L21" s="19">
        <v>35</v>
      </c>
      <c r="M21" s="19" t="s">
        <v>75</v>
      </c>
      <c r="N21" t="s">
        <v>76</v>
      </c>
      <c r="O21" s="14">
        <v>17238</v>
      </c>
    </row>
    <row r="22" spans="1:15" ht="18.45" x14ac:dyDescent="0.5">
      <c r="A22" t="s">
        <v>44</v>
      </c>
      <c r="B22" t="s">
        <v>77</v>
      </c>
      <c r="C22" t="s">
        <v>78</v>
      </c>
      <c r="D22">
        <v>33</v>
      </c>
      <c r="E22" t="s">
        <v>72</v>
      </c>
      <c r="F22" t="s">
        <v>79</v>
      </c>
      <c r="G22" s="16" cm="1">
        <f t="array" ref="G22">INDEX($I$20:$O$30, MATCH(A22&amp;B22&amp;C22&amp;D22&amp;E22&amp;F22, $I$20:$I$30&amp;$J$20:$J$30&amp;$K$20:$K$30&amp;$L$20:$L$30&amp;$M$20:$M$30&amp;$N$20:$N$30, 0), 7)</f>
        <v>32665</v>
      </c>
      <c r="I22" t="s">
        <v>39</v>
      </c>
      <c r="J22" t="s">
        <v>30</v>
      </c>
      <c r="K22" t="s">
        <v>71</v>
      </c>
      <c r="L22" s="19">
        <v>28</v>
      </c>
      <c r="M22" s="19" t="s">
        <v>72</v>
      </c>
      <c r="N22" t="s">
        <v>73</v>
      </c>
      <c r="O22" s="14">
        <v>59865</v>
      </c>
    </row>
    <row r="23" spans="1:15" ht="18.45" x14ac:dyDescent="0.5">
      <c r="A23" t="s">
        <v>80</v>
      </c>
      <c r="B23" t="s">
        <v>81</v>
      </c>
      <c r="C23" t="s">
        <v>82</v>
      </c>
      <c r="D23">
        <v>36</v>
      </c>
      <c r="E23" t="s">
        <v>72</v>
      </c>
      <c r="F23" t="s">
        <v>83</v>
      </c>
      <c r="G23" s="16" cm="1">
        <f t="array" ref="G23">INDEX($I$20:$O$30, MATCH(A23&amp;B23&amp;C23&amp;D23&amp;E23&amp;F23, $I$20:$I$30&amp;$J$20:$J$30&amp;$K$20:$K$30&amp;$L$20:$L$30&amp;$M$20:$M$30&amp;$N$20:$N$30, 0), 7)</f>
        <v>52894</v>
      </c>
      <c r="I23" t="s">
        <v>84</v>
      </c>
      <c r="J23" t="s">
        <v>31</v>
      </c>
      <c r="K23" t="s">
        <v>56</v>
      </c>
      <c r="L23" s="19">
        <v>45</v>
      </c>
      <c r="M23" s="19" t="s">
        <v>75</v>
      </c>
      <c r="N23" t="s">
        <v>85</v>
      </c>
      <c r="O23" s="14">
        <v>10251</v>
      </c>
    </row>
    <row r="24" spans="1:15" x14ac:dyDescent="0.4">
      <c r="C24" s="2"/>
      <c r="G24" s="2"/>
      <c r="I24" t="s">
        <v>42</v>
      </c>
      <c r="J24" t="s">
        <v>33</v>
      </c>
      <c r="K24" t="s">
        <v>50</v>
      </c>
      <c r="L24" s="19">
        <v>38</v>
      </c>
      <c r="M24" s="19" t="s">
        <v>72</v>
      </c>
      <c r="N24" t="s">
        <v>86</v>
      </c>
      <c r="O24" s="14">
        <v>12597</v>
      </c>
    </row>
    <row r="25" spans="1:15" x14ac:dyDescent="0.4">
      <c r="C25" s="2"/>
      <c r="G25" s="2"/>
      <c r="I25" t="s">
        <v>84</v>
      </c>
      <c r="J25" t="s">
        <v>31</v>
      </c>
      <c r="K25" t="s">
        <v>56</v>
      </c>
      <c r="L25" s="19">
        <v>45</v>
      </c>
      <c r="M25" s="19" t="s">
        <v>75</v>
      </c>
      <c r="N25" t="s">
        <v>87</v>
      </c>
      <c r="O25" s="14">
        <v>12000</v>
      </c>
    </row>
    <row r="26" spans="1:15" x14ac:dyDescent="0.4">
      <c r="C26" s="2"/>
      <c r="G26" s="2"/>
      <c r="I26" t="s">
        <v>44</v>
      </c>
      <c r="J26" t="s">
        <v>77</v>
      </c>
      <c r="K26" t="s">
        <v>78</v>
      </c>
      <c r="L26" s="19">
        <v>33</v>
      </c>
      <c r="M26" s="19" t="s">
        <v>72</v>
      </c>
      <c r="N26" t="s">
        <v>79</v>
      </c>
      <c r="O26" s="14">
        <v>32665</v>
      </c>
    </row>
    <row r="27" spans="1:15" x14ac:dyDescent="0.4">
      <c r="C27" s="2"/>
      <c r="G27" s="2"/>
      <c r="I27" t="s">
        <v>88</v>
      </c>
      <c r="J27" t="s">
        <v>89</v>
      </c>
      <c r="K27" t="s">
        <v>90</v>
      </c>
      <c r="L27" s="19">
        <v>40</v>
      </c>
      <c r="M27" s="19" t="s">
        <v>75</v>
      </c>
      <c r="N27" t="s">
        <v>91</v>
      </c>
      <c r="O27" s="14">
        <v>99206</v>
      </c>
    </row>
    <row r="28" spans="1:15" x14ac:dyDescent="0.4">
      <c r="C28" s="2"/>
      <c r="G28" s="2"/>
      <c r="I28" t="s">
        <v>43</v>
      </c>
      <c r="J28" t="s">
        <v>34</v>
      </c>
      <c r="K28" t="s">
        <v>92</v>
      </c>
      <c r="L28" s="19">
        <v>31</v>
      </c>
      <c r="M28" s="19" t="s">
        <v>72</v>
      </c>
      <c r="N28" t="s">
        <v>93</v>
      </c>
      <c r="O28" s="14">
        <v>57996</v>
      </c>
    </row>
    <row r="29" spans="1:15" x14ac:dyDescent="0.4">
      <c r="C29" s="2"/>
      <c r="G29" s="2"/>
      <c r="I29" t="s">
        <v>45</v>
      </c>
      <c r="J29" t="s">
        <v>36</v>
      </c>
      <c r="K29" t="s">
        <v>94</v>
      </c>
      <c r="L29" s="19">
        <v>27</v>
      </c>
      <c r="M29" s="19" t="s">
        <v>75</v>
      </c>
      <c r="N29" t="s">
        <v>95</v>
      </c>
      <c r="O29" s="14">
        <v>58835</v>
      </c>
    </row>
    <row r="30" spans="1:15" x14ac:dyDescent="0.4">
      <c r="C30" s="2"/>
      <c r="G30" s="2"/>
      <c r="I30" t="s">
        <v>80</v>
      </c>
      <c r="J30" t="s">
        <v>81</v>
      </c>
      <c r="K30" t="s">
        <v>82</v>
      </c>
      <c r="L30" s="19">
        <v>36</v>
      </c>
      <c r="M30" s="19" t="s">
        <v>72</v>
      </c>
      <c r="N30" t="s">
        <v>83</v>
      </c>
      <c r="O30" s="14">
        <v>52894</v>
      </c>
    </row>
    <row r="31" spans="1:15" x14ac:dyDescent="0.4">
      <c r="C31" s="2"/>
      <c r="G31" s="2"/>
    </row>
    <row r="32" spans="1:15" x14ac:dyDescent="0.4">
      <c r="C32" s="2"/>
      <c r="G32" s="2"/>
    </row>
    <row r="33" spans="1:21" x14ac:dyDescent="0.4">
      <c r="C33" s="2"/>
      <c r="G33" s="2"/>
    </row>
    <row r="34" spans="1:21" x14ac:dyDescent="0.4">
      <c r="A34" t="s">
        <v>96</v>
      </c>
      <c r="C34" s="2"/>
      <c r="G34" s="2"/>
    </row>
    <row r="35" spans="1:21" x14ac:dyDescent="0.4">
      <c r="A35" s="7" t="s">
        <v>97</v>
      </c>
      <c r="B35" s="7" t="s">
        <v>98</v>
      </c>
      <c r="C35" s="7" t="s">
        <v>99</v>
      </c>
      <c r="D35" s="7" t="s">
        <v>100</v>
      </c>
      <c r="E35" s="7" t="s">
        <v>101</v>
      </c>
      <c r="F35" s="7" t="s">
        <v>102</v>
      </c>
      <c r="G35" s="7" t="s">
        <v>103</v>
      </c>
      <c r="H35" s="7" t="s">
        <v>104</v>
      </c>
      <c r="I35" s="7" t="s">
        <v>105</v>
      </c>
      <c r="J35" s="7" t="s">
        <v>106</v>
      </c>
      <c r="L35" s="7" t="s">
        <v>97</v>
      </c>
      <c r="M35" s="7" t="s">
        <v>98</v>
      </c>
      <c r="N35" s="7" t="s">
        <v>99</v>
      </c>
      <c r="O35" s="7" t="s">
        <v>100</v>
      </c>
      <c r="P35" s="7" t="s">
        <v>101</v>
      </c>
      <c r="Q35" s="7" t="s">
        <v>102</v>
      </c>
      <c r="R35" s="7" t="s">
        <v>103</v>
      </c>
      <c r="S35" s="7" t="s">
        <v>104</v>
      </c>
      <c r="T35" s="7" t="s">
        <v>105</v>
      </c>
      <c r="U35" s="7" t="s">
        <v>106</v>
      </c>
    </row>
    <row r="36" spans="1:21" ht="18.45" x14ac:dyDescent="0.5">
      <c r="A36">
        <v>3</v>
      </c>
      <c r="B36" t="s">
        <v>107</v>
      </c>
      <c r="C36" t="s">
        <v>108</v>
      </c>
      <c r="D36">
        <v>15</v>
      </c>
      <c r="E36" t="s">
        <v>109</v>
      </c>
      <c r="F36" t="s">
        <v>110</v>
      </c>
      <c r="G36" s="15" t="s">
        <v>111</v>
      </c>
      <c r="H36" t="s">
        <v>112</v>
      </c>
      <c r="I36" t="s">
        <v>113</v>
      </c>
      <c r="J36" s="17" t="str" cm="1">
        <f t="array" ref="J36">INDEX($L$35:$U$41, MATCH(A36&amp;B36&amp;C36&amp;D36&amp;E36&amp;F36&amp;G36&amp;H36&amp;I36, $L$35:$L$41&amp;$M$35:$M$41&amp;$N$35:$N$41&amp;$O$35:$O$41&amp;$P$35:$P$41&amp;$Q$35:$Q$41&amp;$R$35:$R$41&amp;$S$35:$S$41&amp;$T$35:$T$41, 0), 10)</f>
        <v>4.3</v>
      </c>
      <c r="L36">
        <v>1</v>
      </c>
      <c r="M36" t="s">
        <v>114</v>
      </c>
      <c r="N36" t="s">
        <v>115</v>
      </c>
      <c r="O36">
        <v>20</v>
      </c>
      <c r="P36" t="s">
        <v>116</v>
      </c>
      <c r="Q36" t="s">
        <v>117</v>
      </c>
      <c r="R36" s="15" t="s">
        <v>111</v>
      </c>
      <c r="S36" t="s">
        <v>112</v>
      </c>
      <c r="T36" t="s">
        <v>113</v>
      </c>
      <c r="U36" t="s">
        <v>118</v>
      </c>
    </row>
    <row r="37" spans="1:21" ht="18.45" x14ac:dyDescent="0.5">
      <c r="A37">
        <v>5</v>
      </c>
      <c r="B37" t="s">
        <v>119</v>
      </c>
      <c r="C37" t="s">
        <v>120</v>
      </c>
      <c r="D37">
        <v>40</v>
      </c>
      <c r="E37" t="s">
        <v>121</v>
      </c>
      <c r="F37" t="s">
        <v>122</v>
      </c>
      <c r="G37" s="15" t="s">
        <v>111</v>
      </c>
      <c r="H37" t="s">
        <v>112</v>
      </c>
      <c r="I37" t="s">
        <v>113</v>
      </c>
      <c r="J37" s="17" t="str" cm="1">
        <f t="array" ref="J37">INDEX($L$35:$U$41, MATCH(A37&amp;B37&amp;C37&amp;D37&amp;E37&amp;F37&amp;G37&amp;H37&amp;I37, $L$35:$L$41&amp;$M$35:$M$41&amp;$N$35:$N$41&amp;$O$35:$O$41&amp;$P$35:$P$41&amp;$Q$35:$Q$41&amp;$R$35:$R$41&amp;$S$35:$S$41&amp;$T$35:$T$41, 0), 10)</f>
        <v>4.6</v>
      </c>
      <c r="L37">
        <v>2</v>
      </c>
      <c r="M37" t="s">
        <v>123</v>
      </c>
      <c r="N37" t="s">
        <v>115</v>
      </c>
      <c r="O37">
        <v>35</v>
      </c>
      <c r="P37" t="s">
        <v>124</v>
      </c>
      <c r="Q37" t="s">
        <v>125</v>
      </c>
      <c r="R37" s="15" t="s">
        <v>111</v>
      </c>
      <c r="S37" t="s">
        <v>112</v>
      </c>
      <c r="T37" t="s">
        <v>113</v>
      </c>
      <c r="U37" t="s">
        <v>126</v>
      </c>
    </row>
    <row r="38" spans="1:21" x14ac:dyDescent="0.4">
      <c r="C38" s="2"/>
      <c r="G38" s="2"/>
      <c r="J38" s="11"/>
      <c r="L38">
        <v>3</v>
      </c>
      <c r="M38" t="s">
        <v>107</v>
      </c>
      <c r="N38" t="s">
        <v>108</v>
      </c>
      <c r="O38">
        <v>15</v>
      </c>
      <c r="P38" t="s">
        <v>109</v>
      </c>
      <c r="Q38" t="s">
        <v>110</v>
      </c>
      <c r="R38" s="15" t="s">
        <v>111</v>
      </c>
      <c r="S38" t="s">
        <v>112</v>
      </c>
      <c r="T38" t="s">
        <v>113</v>
      </c>
      <c r="U38" t="s">
        <v>127</v>
      </c>
    </row>
    <row r="39" spans="1:21" x14ac:dyDescent="0.4">
      <c r="C39" s="2"/>
      <c r="G39" s="2"/>
      <c r="J39" s="11"/>
      <c r="L39">
        <v>4</v>
      </c>
      <c r="M39" t="s">
        <v>128</v>
      </c>
      <c r="N39" t="s">
        <v>120</v>
      </c>
      <c r="O39">
        <v>50</v>
      </c>
      <c r="P39" t="s">
        <v>129</v>
      </c>
      <c r="Q39" t="s">
        <v>117</v>
      </c>
      <c r="R39" s="15" t="s">
        <v>111</v>
      </c>
      <c r="S39" t="s">
        <v>112</v>
      </c>
      <c r="T39" t="s">
        <v>113</v>
      </c>
      <c r="U39" t="s">
        <v>130</v>
      </c>
    </row>
    <row r="40" spans="1:21" x14ac:dyDescent="0.4">
      <c r="C40" s="2"/>
      <c r="G40" s="2"/>
      <c r="J40" s="11"/>
      <c r="L40">
        <v>5</v>
      </c>
      <c r="M40" t="s">
        <v>119</v>
      </c>
      <c r="N40" t="s">
        <v>120</v>
      </c>
      <c r="O40">
        <v>40</v>
      </c>
      <c r="P40" t="s">
        <v>121</v>
      </c>
      <c r="Q40" t="s">
        <v>122</v>
      </c>
      <c r="R40" s="15" t="s">
        <v>111</v>
      </c>
      <c r="S40" t="s">
        <v>112</v>
      </c>
      <c r="T40" t="s">
        <v>113</v>
      </c>
      <c r="U40" t="s">
        <v>131</v>
      </c>
    </row>
    <row r="41" spans="1:21" x14ac:dyDescent="0.4">
      <c r="C41" s="2"/>
      <c r="G41" s="2"/>
      <c r="J41" s="11"/>
      <c r="L41">
        <v>5</v>
      </c>
      <c r="M41" t="s">
        <v>119</v>
      </c>
      <c r="N41" t="s">
        <v>120</v>
      </c>
      <c r="O41">
        <v>40</v>
      </c>
      <c r="P41" t="s">
        <v>121</v>
      </c>
      <c r="Q41" t="s">
        <v>122</v>
      </c>
      <c r="R41" s="15" t="s">
        <v>111</v>
      </c>
      <c r="S41" t="s">
        <v>112</v>
      </c>
      <c r="T41" t="s">
        <v>113</v>
      </c>
      <c r="U41" t="s">
        <v>131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849FD-2E25-43D2-877D-52B934212D5B}">
  <sheetPr codeName="Planilha3"/>
  <dimension ref="A1:J13"/>
  <sheetViews>
    <sheetView topLeftCell="B9" workbookViewId="0">
      <selection activeCell="I12" sqref="I12"/>
    </sheetView>
  </sheetViews>
  <sheetFormatPr defaultRowHeight="14.6" x14ac:dyDescent="0.4"/>
  <cols>
    <col min="1" max="1" width="34.84375" bestFit="1" customWidth="1"/>
    <col min="2" max="2" width="16.61328125" bestFit="1" customWidth="1"/>
    <col min="4" max="4" width="14.765625" customWidth="1"/>
    <col min="5" max="5" width="3.3046875" customWidth="1"/>
    <col min="6" max="6" width="10.84375" bestFit="1" customWidth="1"/>
    <col min="7" max="7" width="13.4609375" bestFit="1" customWidth="1"/>
    <col min="8" max="8" width="9.84375" bestFit="1" customWidth="1"/>
    <col min="9" max="9" width="32.07421875" customWidth="1"/>
    <col min="10" max="10" width="13.4609375" bestFit="1" customWidth="1"/>
  </cols>
  <sheetData>
    <row r="1" spans="1:10" ht="15.9" x14ac:dyDescent="0.45">
      <c r="A1" s="20" t="s">
        <v>15</v>
      </c>
      <c r="B1" s="21" t="s">
        <v>132</v>
      </c>
      <c r="C1" s="21" t="s">
        <v>16</v>
      </c>
      <c r="D1" s="22" t="s">
        <v>17</v>
      </c>
      <c r="E1" s="23"/>
      <c r="F1" s="21" t="s">
        <v>16</v>
      </c>
      <c r="G1" s="22" t="s">
        <v>17</v>
      </c>
      <c r="H1" s="21" t="s">
        <v>132</v>
      </c>
      <c r="I1" s="22" t="s">
        <v>17</v>
      </c>
      <c r="J1" s="23"/>
    </row>
    <row r="2" spans="1:10" ht="15.9" x14ac:dyDescent="0.45">
      <c r="A2" s="24" t="s">
        <v>133</v>
      </c>
      <c r="B2" s="25" t="s">
        <v>134</v>
      </c>
      <c r="C2" s="25">
        <v>23</v>
      </c>
      <c r="D2" s="26">
        <v>2000</v>
      </c>
      <c r="E2" s="23"/>
      <c r="F2" s="27" t="s">
        <v>135</v>
      </c>
      <c r="G2" s="28" t="s">
        <v>136</v>
      </c>
      <c r="H2" s="25" t="s">
        <v>134</v>
      </c>
      <c r="I2" s="31">
        <f>SUMIFS(D1:D13,C1:C13,F2,D1:D13,G2,B1:B13,H2)</f>
        <v>2000</v>
      </c>
      <c r="J2" s="29"/>
    </row>
    <row r="3" spans="1:10" ht="15.9" x14ac:dyDescent="0.45">
      <c r="A3" s="24" t="s">
        <v>137</v>
      </c>
      <c r="B3" s="25" t="s">
        <v>138</v>
      </c>
      <c r="C3" s="25">
        <v>23</v>
      </c>
      <c r="D3" s="26">
        <v>100</v>
      </c>
      <c r="E3" s="23"/>
      <c r="F3" s="29"/>
      <c r="G3" s="23"/>
      <c r="H3" s="23"/>
      <c r="I3" s="29" t="s">
        <v>139</v>
      </c>
      <c r="J3" s="23"/>
    </row>
    <row r="4" spans="1:10" ht="15.9" x14ac:dyDescent="0.45">
      <c r="A4" s="24" t="s">
        <v>137</v>
      </c>
      <c r="B4" s="25" t="s">
        <v>140</v>
      </c>
      <c r="C4" s="25">
        <v>24</v>
      </c>
      <c r="D4" s="26">
        <v>5000</v>
      </c>
      <c r="E4" s="23"/>
      <c r="F4" s="23"/>
      <c r="G4" s="23"/>
      <c r="H4" s="23"/>
      <c r="I4" s="23"/>
      <c r="J4" s="23"/>
    </row>
    <row r="5" spans="1:10" ht="15.9" x14ac:dyDescent="0.45">
      <c r="A5" s="24" t="s">
        <v>21</v>
      </c>
      <c r="B5" s="25" t="s">
        <v>141</v>
      </c>
      <c r="C5" s="25">
        <v>23</v>
      </c>
      <c r="D5" s="26">
        <v>100</v>
      </c>
      <c r="E5" s="23"/>
      <c r="F5" s="23"/>
      <c r="G5" s="23"/>
      <c r="H5" s="23"/>
      <c r="I5" s="23"/>
      <c r="J5" s="23"/>
    </row>
    <row r="6" spans="1:10" ht="15.9" x14ac:dyDescent="0.45">
      <c r="A6" s="24" t="s">
        <v>22</v>
      </c>
      <c r="B6" s="25" t="s">
        <v>140</v>
      </c>
      <c r="C6" s="25">
        <v>26</v>
      </c>
      <c r="D6" s="26">
        <v>5000</v>
      </c>
      <c r="E6" s="23"/>
      <c r="F6" s="23"/>
      <c r="G6" s="23"/>
      <c r="H6" s="23"/>
      <c r="I6" s="23"/>
      <c r="J6" s="23"/>
    </row>
    <row r="7" spans="1:10" ht="15.9" x14ac:dyDescent="0.45">
      <c r="A7" s="24" t="s">
        <v>142</v>
      </c>
      <c r="B7" s="25" t="s">
        <v>140</v>
      </c>
      <c r="C7" s="25">
        <v>26</v>
      </c>
      <c r="D7" s="26">
        <v>5000</v>
      </c>
      <c r="E7" s="23"/>
      <c r="F7" s="21" t="s">
        <v>16</v>
      </c>
      <c r="G7" s="22" t="s">
        <v>17</v>
      </c>
      <c r="H7" s="21" t="s">
        <v>132</v>
      </c>
      <c r="I7" s="20" t="s">
        <v>15</v>
      </c>
      <c r="J7" s="22" t="s">
        <v>17</v>
      </c>
    </row>
    <row r="8" spans="1:10" ht="15.9" x14ac:dyDescent="0.45">
      <c r="A8" s="24" t="s">
        <v>24</v>
      </c>
      <c r="B8" s="25" t="s">
        <v>141</v>
      </c>
      <c r="C8" s="25">
        <v>26</v>
      </c>
      <c r="D8" s="26">
        <v>3000</v>
      </c>
      <c r="E8" s="23"/>
      <c r="F8" s="25" t="s">
        <v>135</v>
      </c>
      <c r="G8" s="30" t="s">
        <v>143</v>
      </c>
      <c r="H8" s="25" t="s">
        <v>134</v>
      </c>
      <c r="I8" s="25" t="s">
        <v>133</v>
      </c>
      <c r="J8" s="32">
        <f>SUMIFS(D1:D13,C1:C13,F8,D1:D13,G8,B1:B13,H8,A1:A13,I8)</f>
        <v>2000</v>
      </c>
    </row>
    <row r="9" spans="1:10" ht="15.9" x14ac:dyDescent="0.45">
      <c r="A9" s="24" t="s">
        <v>25</v>
      </c>
      <c r="B9" s="25" t="s">
        <v>141</v>
      </c>
      <c r="C9" s="25">
        <v>26</v>
      </c>
      <c r="D9" s="26">
        <v>3000</v>
      </c>
      <c r="E9" s="23"/>
      <c r="F9" s="23"/>
      <c r="G9" s="23"/>
      <c r="H9" s="23"/>
      <c r="I9" s="23"/>
      <c r="J9" s="23"/>
    </row>
    <row r="10" spans="1:10" ht="15.9" x14ac:dyDescent="0.45">
      <c r="A10" s="24" t="s">
        <v>144</v>
      </c>
      <c r="B10" s="25" t="s">
        <v>141</v>
      </c>
      <c r="C10" s="25">
        <v>26</v>
      </c>
      <c r="D10" s="26">
        <v>3000</v>
      </c>
      <c r="E10" s="23"/>
      <c r="F10" s="23"/>
      <c r="G10" s="23"/>
      <c r="H10" s="23"/>
      <c r="I10" s="23"/>
      <c r="J10" s="23"/>
    </row>
    <row r="11" spans="1:10" ht="15.9" x14ac:dyDescent="0.45">
      <c r="A11" s="24" t="s">
        <v>26</v>
      </c>
      <c r="B11" s="25" t="s">
        <v>145</v>
      </c>
      <c r="C11" s="25">
        <v>26</v>
      </c>
      <c r="D11" s="26">
        <v>4000</v>
      </c>
      <c r="E11" s="23"/>
      <c r="F11" s="21" t="s">
        <v>16</v>
      </c>
      <c r="G11" s="21" t="s">
        <v>132</v>
      </c>
      <c r="H11" s="21" t="s">
        <v>16</v>
      </c>
      <c r="I11" s="22" t="s">
        <v>17</v>
      </c>
      <c r="J11" s="23"/>
    </row>
    <row r="12" spans="1:10" ht="15.9" x14ac:dyDescent="0.45">
      <c r="A12" s="24" t="s">
        <v>144</v>
      </c>
      <c r="B12" s="25" t="s">
        <v>145</v>
      </c>
      <c r="C12" s="25">
        <v>26</v>
      </c>
      <c r="D12" s="26">
        <v>4000</v>
      </c>
      <c r="E12" s="23"/>
      <c r="F12" s="25" t="s">
        <v>136</v>
      </c>
      <c r="G12" s="25" t="s">
        <v>134</v>
      </c>
      <c r="H12" s="25">
        <v>23</v>
      </c>
      <c r="I12" s="30">
        <f>SUMIFS(D1:D13,C1:C13,F12,B1:B13,G12,C1:C13,H12)</f>
        <v>2000</v>
      </c>
      <c r="J12" s="23"/>
    </row>
    <row r="13" spans="1:10" ht="15.9" x14ac:dyDescent="0.45">
      <c r="A13" s="24" t="s">
        <v>28</v>
      </c>
      <c r="B13" s="25" t="s">
        <v>145</v>
      </c>
      <c r="C13" s="25">
        <v>26</v>
      </c>
      <c r="D13" s="26">
        <v>4000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81E49-AD11-4EF0-B528-F345A1E5672C}">
  <sheetPr codeName="Planilha4"/>
  <dimension ref="A2:H14"/>
  <sheetViews>
    <sheetView tabSelected="1" workbookViewId="0">
      <selection activeCell="H3" sqref="H3"/>
    </sheetView>
  </sheetViews>
  <sheetFormatPr defaultRowHeight="14.6" x14ac:dyDescent="0.4"/>
  <cols>
    <col min="1" max="1" width="16.921875" customWidth="1"/>
    <col min="2" max="2" width="23.07421875" customWidth="1"/>
    <col min="3" max="3" width="13.84375" bestFit="1" customWidth="1"/>
    <col min="4" max="4" width="5.69140625" bestFit="1" customWidth="1"/>
    <col min="5" max="5" width="8.3828125" bestFit="1" customWidth="1"/>
    <col min="8" max="9" width="32" bestFit="1" customWidth="1"/>
  </cols>
  <sheetData>
    <row r="2" spans="1:8" ht="15.9" x14ac:dyDescent="0.45">
      <c r="A2" s="36" t="s">
        <v>1</v>
      </c>
      <c r="B2" s="20" t="s">
        <v>15</v>
      </c>
      <c r="C2" s="21" t="s">
        <v>146</v>
      </c>
      <c r="D2" s="21" t="s">
        <v>16</v>
      </c>
      <c r="F2" s="21" t="s">
        <v>16</v>
      </c>
      <c r="G2" s="21" t="s">
        <v>16</v>
      </c>
      <c r="H2" s="23"/>
    </row>
    <row r="3" spans="1:8" ht="15.9" x14ac:dyDescent="0.45">
      <c r="A3" s="37" t="s">
        <v>2</v>
      </c>
      <c r="B3" s="24" t="s">
        <v>133</v>
      </c>
      <c r="C3" s="34">
        <v>42005</v>
      </c>
      <c r="D3" s="25">
        <v>23</v>
      </c>
      <c r="F3" s="24" t="s">
        <v>147</v>
      </c>
      <c r="G3" s="24" t="s">
        <v>148</v>
      </c>
      <c r="H3" s="35">
        <f>COUNTIFS(L17:L29,F3,L17:L29,G3)</f>
        <v>0</v>
      </c>
    </row>
    <row r="4" spans="1:8" ht="15.9" x14ac:dyDescent="0.45">
      <c r="A4" s="37" t="s">
        <v>3</v>
      </c>
      <c r="B4" s="24" t="s">
        <v>149</v>
      </c>
      <c r="C4" s="34">
        <v>42370</v>
      </c>
      <c r="D4" s="25">
        <v>23</v>
      </c>
      <c r="F4" s="23"/>
      <c r="G4" s="23"/>
      <c r="H4" s="29" t="s">
        <v>150</v>
      </c>
    </row>
    <row r="5" spans="1:8" ht="15.9" x14ac:dyDescent="0.45">
      <c r="A5" s="37" t="s">
        <v>3</v>
      </c>
      <c r="B5" s="24" t="s">
        <v>149</v>
      </c>
      <c r="C5" s="34">
        <v>42735</v>
      </c>
      <c r="D5" s="25">
        <v>23</v>
      </c>
      <c r="F5" s="23"/>
      <c r="G5" s="23"/>
      <c r="H5" s="23"/>
    </row>
    <row r="6" spans="1:8" ht="15.9" x14ac:dyDescent="0.45">
      <c r="A6" s="37" t="s">
        <v>5</v>
      </c>
      <c r="B6" s="24" t="s">
        <v>21</v>
      </c>
      <c r="C6" s="34">
        <v>43100</v>
      </c>
      <c r="D6" s="25">
        <v>26</v>
      </c>
      <c r="F6" s="21" t="s">
        <v>16</v>
      </c>
      <c r="G6" s="21" t="s">
        <v>16</v>
      </c>
      <c r="H6" s="20" t="s">
        <v>15</v>
      </c>
    </row>
    <row r="7" spans="1:8" ht="15.9" x14ac:dyDescent="0.45">
      <c r="A7" s="37" t="s">
        <v>6</v>
      </c>
      <c r="B7" s="24" t="s">
        <v>22</v>
      </c>
      <c r="C7" s="34">
        <v>43465</v>
      </c>
      <c r="D7" s="25">
        <v>26</v>
      </c>
      <c r="F7" s="24" t="s">
        <v>151</v>
      </c>
      <c r="G7" s="24" t="s">
        <v>148</v>
      </c>
      <c r="H7" s="24" t="s">
        <v>149</v>
      </c>
    </row>
    <row r="8" spans="1:8" ht="20.6" x14ac:dyDescent="0.55000000000000004">
      <c r="A8" s="37" t="s">
        <v>7</v>
      </c>
      <c r="B8" s="24" t="s">
        <v>142</v>
      </c>
      <c r="C8" s="34">
        <v>43830</v>
      </c>
      <c r="D8" s="25">
        <v>26</v>
      </c>
      <c r="F8" s="33"/>
    </row>
    <row r="9" spans="1:8" ht="20.6" x14ac:dyDescent="0.55000000000000004">
      <c r="A9" s="37" t="s">
        <v>8</v>
      </c>
      <c r="B9" s="24" t="s">
        <v>24</v>
      </c>
      <c r="C9" s="34">
        <v>44195</v>
      </c>
      <c r="D9" s="25">
        <v>23</v>
      </c>
      <c r="F9" s="33"/>
    </row>
    <row r="10" spans="1:8" ht="20.6" x14ac:dyDescent="0.55000000000000004">
      <c r="A10" s="37" t="s">
        <v>9</v>
      </c>
      <c r="B10" s="24" t="s">
        <v>25</v>
      </c>
      <c r="C10" s="34">
        <v>44560</v>
      </c>
      <c r="D10" s="25">
        <v>30</v>
      </c>
      <c r="F10" s="33"/>
    </row>
    <row r="11" spans="1:8" ht="20.6" x14ac:dyDescent="0.55000000000000004">
      <c r="A11" s="37" t="s">
        <v>10</v>
      </c>
      <c r="B11" s="24" t="s">
        <v>144</v>
      </c>
      <c r="C11" s="34">
        <v>44925</v>
      </c>
      <c r="D11" s="25">
        <v>23</v>
      </c>
      <c r="F11" s="33"/>
    </row>
    <row r="12" spans="1:8" ht="20.6" x14ac:dyDescent="0.55000000000000004">
      <c r="A12" s="37" t="s">
        <v>11</v>
      </c>
      <c r="B12" s="24" t="s">
        <v>26</v>
      </c>
      <c r="C12" s="34">
        <v>45290</v>
      </c>
      <c r="D12" s="25">
        <v>30</v>
      </c>
      <c r="F12" s="33"/>
    </row>
    <row r="13" spans="1:8" ht="20.6" x14ac:dyDescent="0.55000000000000004">
      <c r="A13" s="37" t="s">
        <v>12</v>
      </c>
      <c r="B13" s="24" t="s">
        <v>27</v>
      </c>
      <c r="C13" s="34">
        <v>45655</v>
      </c>
      <c r="D13" s="25">
        <v>45</v>
      </c>
      <c r="F13" s="33"/>
    </row>
    <row r="14" spans="1:8" ht="20.6" x14ac:dyDescent="0.55000000000000004">
      <c r="A14" s="37" t="s">
        <v>152</v>
      </c>
      <c r="B14" s="24" t="s">
        <v>28</v>
      </c>
      <c r="C14" s="34">
        <v>46020</v>
      </c>
      <c r="D14" s="25">
        <v>30</v>
      </c>
      <c r="F14" s="3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PROCV</vt:lpstr>
      <vt:lpstr>ÍNDICE CORRESP</vt:lpstr>
      <vt:lpstr>SOMASES</vt:lpstr>
      <vt:lpstr>CONT.SES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2025-01-10T22:28:21Z</dcterms:created>
  <dcterms:modified xsi:type="dcterms:W3CDTF">2025-01-17T03:33:24Z</dcterms:modified>
</cp:coreProperties>
</file>