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F5D1B13A-8D14-4F48-BAC9-D4EAC4D12A32}" xr6:coauthVersionLast="47" xr6:coauthVersionMax="47" xr10:uidLastSave="{00000000-0000-0000-0000-000000000000}"/>
  <bookViews>
    <workbookView xWindow="0" yWindow="0" windowWidth="16457" windowHeight="17914" tabRatio="909" firstSheet="3" activeTab="9" xr2:uid="{193F081A-02DB-4BD2-87B0-9E4D48AC40BC}"/>
  </bookViews>
  <sheets>
    <sheet name="Soma e Média" sheetId="22" r:id="rId1"/>
    <sheet name="Juntar Texto" sheetId="28" r:id="rId2"/>
    <sheet name="Extrair Número" sheetId="29" r:id="rId3"/>
    <sheet name="Maior Número" sheetId="30" r:id="rId4"/>
    <sheet name="Sobrenome" sheetId="31" r:id="rId5"/>
    <sheet name="Nome e Sobrenome" sheetId="32" r:id="rId6"/>
    <sheet name="CPF" sheetId="33" r:id="rId7"/>
    <sheet name="Busca Texto" sheetId="34" r:id="rId8"/>
    <sheet name="Separar Texto" sheetId="35" r:id="rId9"/>
    <sheet name="Endereço" sheetId="36" r:id="rId10"/>
    <sheet name="Puxa Dados e Separa" sheetId="37" r:id="rId11"/>
  </sheets>
  <functionGroups builtInGroupCount="19">
    <functionGroup name="Retorna o sobrenome de um nome o"/>
    <functionGroup name="Retorna a situação dois números"/>
  </functionGroups>
  <calcPr calcId="181029"/>
  <extLst>
    <ext xmlns:x14="http://schemas.microsoft.com/office/spreadsheetml/2009/9/main" uri="{8193D73E-4604-4355-AFF4-8A2333D13BE4}">
      <x14:definedNames>
        <x14:definedName name="SituacaoDoisNumeros">
          <x14:argumentDescriptions count="2">
            <x14:argumentDescription index="0">Informe o primeiro número</x14:argumentDescription>
            <x14:argumentDescription index="1">Informe o segundo número</x14:argumentDescription>
          </x14:argumentDescriptions>
        </x14:definedName>
        <x14:definedName name="sobrenome">
          <x14:argumentDescriptions count="1">
            <x14:argumentDescription index="0">Texto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36" l="1"/>
  <c r="E13" i="36"/>
  <c r="E12" i="36"/>
  <c r="F13" i="36"/>
  <c r="F12" i="36"/>
  <c r="D13" i="36"/>
  <c r="E11" i="36"/>
  <c r="F11" i="36"/>
  <c r="D11" i="36"/>
  <c r="I11" i="28"/>
  <c r="F13" i="34"/>
  <c r="D12" i="33"/>
  <c r="E12" i="35"/>
  <c r="G13" i="28"/>
  <c r="D20" i="33"/>
  <c r="D12" i="29"/>
  <c r="G11" i="28"/>
  <c r="G14" i="33"/>
  <c r="D13" i="33"/>
  <c r="D14" i="29"/>
  <c r="D14" i="33"/>
  <c r="D19" i="33"/>
  <c r="E13" i="35"/>
  <c r="I12" i="28"/>
  <c r="F14" i="34"/>
  <c r="D11" i="33"/>
  <c r="G11" i="22"/>
  <c r="I13" i="28"/>
  <c r="E17" i="22"/>
  <c r="E11" i="35"/>
  <c r="D11" i="29"/>
  <c r="F11" i="34"/>
  <c r="D11" i="35"/>
  <c r="G12" i="28"/>
  <c r="H11" i="22"/>
  <c r="G12" i="22"/>
  <c r="I14" i="22"/>
  <c r="F12" i="35"/>
  <c r="F17" i="22"/>
  <c r="H12" i="22"/>
  <c r="G14" i="22"/>
  <c r="F12" i="30"/>
  <c r="I13" i="22"/>
  <c r="F13" i="32"/>
  <c r="D12" i="31"/>
  <c r="F11" i="35"/>
  <c r="H14" i="28"/>
  <c r="F16" i="22"/>
  <c r="I11" i="22"/>
  <c r="D13" i="35"/>
  <c r="F12" i="34"/>
  <c r="F13" i="28"/>
  <c r="G14" i="28"/>
  <c r="G11" i="33"/>
  <c r="I12" i="22"/>
  <c r="F14" i="28"/>
  <c r="F12" i="32"/>
  <c r="D13" i="29"/>
  <c r="H12" i="28"/>
  <c r="H14" i="22"/>
  <c r="F11" i="28"/>
  <c r="D11" i="31"/>
  <c r="H13" i="22"/>
  <c r="F12" i="28"/>
  <c r="D21" i="33"/>
  <c r="F13" i="35"/>
  <c r="H11" i="28"/>
  <c r="G13" i="33"/>
  <c r="G13" i="22"/>
  <c r="G17" i="22" s="1"/>
  <c r="D13" i="31"/>
  <c r="D12" i="35"/>
  <c r="I14" i="28"/>
  <c r="F14" i="32"/>
  <c r="E16" i="22"/>
  <c r="H13" i="28"/>
  <c r="G12" i="33"/>
  <c r="D14" i="31"/>
  <c r="G16" i="22"/>
  <c r="F11" i="32"/>
  <c r="D22" i="33"/>
  <c r="H16" i="22"/>
  <c r="H17" i="22"/>
</calcChain>
</file>

<file path=xl/sharedStrings.xml><?xml version="1.0" encoding="utf-8"?>
<sst xmlns="http://schemas.openxmlformats.org/spreadsheetml/2006/main" count="127" uniqueCount="75">
  <si>
    <t>Curso de Excel do Básico ao Avançado</t>
  </si>
  <si>
    <t>Nome</t>
  </si>
  <si>
    <t>Professor: Clevison Santos</t>
  </si>
  <si>
    <t>Nota 1</t>
  </si>
  <si>
    <t>Nota 2</t>
  </si>
  <si>
    <t>Média</t>
  </si>
  <si>
    <t>Situação</t>
  </si>
  <si>
    <t>Ademir</t>
  </si>
  <si>
    <t>Bruna</t>
  </si>
  <si>
    <t>Tuane</t>
  </si>
  <si>
    <t>Vera</t>
  </si>
  <si>
    <t>SOMA</t>
  </si>
  <si>
    <t>Funções - Soma e Média</t>
  </si>
  <si>
    <t>Função Juntar Texto</t>
  </si>
  <si>
    <t>Alves</t>
  </si>
  <si>
    <t>Pires</t>
  </si>
  <si>
    <t>Moreira</t>
  </si>
  <si>
    <t>Cardoso</t>
  </si>
  <si>
    <t xml:space="preserve">Ana </t>
  </si>
  <si>
    <t>Juntar</t>
  </si>
  <si>
    <t>Juntar e PRI-MAIÚSCULA</t>
  </si>
  <si>
    <t>PAULA</t>
  </si>
  <si>
    <t>ROGER</t>
  </si>
  <si>
    <t>TUANE</t>
  </si>
  <si>
    <t>MArtiNS</t>
  </si>
  <si>
    <t>GonçALves</t>
  </si>
  <si>
    <t>Juntar e Minúscula</t>
  </si>
  <si>
    <t>Juntar e Maiúscula</t>
  </si>
  <si>
    <t>Soma</t>
  </si>
  <si>
    <t>Media</t>
  </si>
  <si>
    <t>Função Extrair Números</t>
  </si>
  <si>
    <t>Avenida do Estado - 2602</t>
  </si>
  <si>
    <t>Número</t>
  </si>
  <si>
    <t xml:space="preserve">		Rua Martins Fontes, número 39</t>
  </si>
  <si>
    <t>29 - Rua Três de Dezembro</t>
  </si>
  <si>
    <t xml:space="preserve">		Vila Bueno 12345 São Paulo</t>
  </si>
  <si>
    <t>Endereço</t>
  </si>
  <si>
    <t>Função SOBRENOME</t>
  </si>
  <si>
    <t>Nome Completo</t>
  </si>
  <si>
    <t>Berenice Alves de Oliveira</t>
  </si>
  <si>
    <t>Renata Pereira Martins</t>
  </si>
  <si>
    <t>Kleber Almeida Rois Verde</t>
  </si>
  <si>
    <t>Allan Felipe Souza Teste</t>
  </si>
  <si>
    <t>Função NOME_SOBRENOME</t>
  </si>
  <si>
    <t>Função CPF, MASCARA_CPF e MASCARA_Telefone</t>
  </si>
  <si>
    <t>CPF</t>
  </si>
  <si>
    <t>Telefone</t>
  </si>
  <si>
    <t>123.987.789-10</t>
  </si>
  <si>
    <t>12398778910</t>
  </si>
  <si>
    <t>123.586.789-11</t>
  </si>
  <si>
    <t>12358678911</t>
  </si>
  <si>
    <t>123.456.986-12</t>
  </si>
  <si>
    <t>12345698612</t>
  </si>
  <si>
    <t>678.456.789-13</t>
  </si>
  <si>
    <t>67845678913</t>
  </si>
  <si>
    <t>Função puxaDados_2</t>
  </si>
  <si>
    <t>Função SEPARA_NOME</t>
  </si>
  <si>
    <t>Parte 1</t>
  </si>
  <si>
    <t>Parte 2</t>
  </si>
  <si>
    <t>Parte 3</t>
  </si>
  <si>
    <t>Luana Alves Ramos</t>
  </si>
  <si>
    <t>Berenice Pires Soares</t>
  </si>
  <si>
    <t>Amanda Cardoso Pereira</t>
  </si>
  <si>
    <t>Função EXTRAI_INFORMACOES_COLUNAS</t>
  </si>
  <si>
    <t>Idade</t>
  </si>
  <si>
    <t>Sexo</t>
  </si>
  <si>
    <t>123.456.789-10</t>
  </si>
  <si>
    <t>456.123.789-11</t>
  </si>
  <si>
    <t>789.456.123-12</t>
  </si>
  <si>
    <t>Função PUXA_DADOS_E_SEPARA</t>
  </si>
  <si>
    <t>Dados</t>
  </si>
  <si>
    <t>Luana Alves Ramos;21;Feminino</t>
  </si>
  <si>
    <t>Berenice Pires Soares;32;Feminino</t>
  </si>
  <si>
    <t>Amanda Cardoso Pereira;28;Feminino</t>
  </si>
  <si>
    <t>Allan Felipe Souza Salsa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</si>
</sst>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2" fillId="2" borderId="0" xfId="0" applyFont="1" applyFill="1" applyAlignment="1">
      <alignment horizontal="left" indent="5"/>
    </xf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 indent="7"/>
    </xf>
    <xf numFmtId="0" fontId="2" fillId="2" borderId="0" xfId="0" applyFont="1" applyFill="1" applyAlignment="1">
      <alignment horizontal="left" indent="11"/>
    </xf>
    <xf numFmtId="0" fontId="4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vertical="center"/>
    </xf>
    <xf numFmtId="0" fontId="6" fillId="0" borderId="2" xfId="0" applyFont="1" applyBorder="1"/>
    <xf numFmtId="0" fontId="6" fillId="0" borderId="0" xfId="0" applyFont="1"/>
    <xf numFmtId="0" fontId="6" fillId="0" borderId="2" xfId="0" applyFont="1" applyBorder="1" applyAlignment="1">
      <alignment horizontal="left"/>
    </xf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005A-A323-444C-99AF-8B1045311F2C}">
  <sheetPr codeName="Planilha1"/>
  <dimension ref="B1:I17"/>
  <sheetViews>
    <sheetView showGridLines="0" topLeftCell="D1" workbookViewId="0">
      <selection activeCell="E18" sqref="E18"/>
    </sheetView>
  </sheetViews>
  <sheetFormatPr defaultRowHeight="14.6" x14ac:dyDescent="0.4"/>
  <cols>
    <col min="4" max="4" width="25.3828125" style="5" customWidth="1"/>
    <col min="5" max="8" width="22.53515625" customWidth="1"/>
    <col min="9" max="9" width="25.3828125" style="5" customWidth="1"/>
  </cols>
  <sheetData>
    <row r="1" spans="2:9" s="1" customFormat="1" x14ac:dyDescent="0.4">
      <c r="D1" s="2"/>
      <c r="F1" s="2"/>
      <c r="G1" s="2"/>
    </row>
    <row r="2" spans="2:9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</row>
    <row r="3" spans="2:9" s="1" customFormat="1" ht="14.4" customHeight="1" x14ac:dyDescent="0.4">
      <c r="B3" s="16"/>
      <c r="C3" s="16"/>
      <c r="D3" s="16"/>
      <c r="E3" s="16"/>
      <c r="F3" s="16"/>
      <c r="G3" s="16"/>
      <c r="H3" s="16"/>
    </row>
    <row r="4" spans="2:9" s="1" customFormat="1" ht="14.4" customHeight="1" x14ac:dyDescent="0.4">
      <c r="B4" s="16"/>
      <c r="C4" s="16"/>
      <c r="D4" s="16"/>
      <c r="E4" s="16"/>
      <c r="F4" s="16"/>
      <c r="G4" s="16"/>
      <c r="H4" s="16"/>
    </row>
    <row r="5" spans="2:9" s="1" customFormat="1" ht="23.15" x14ac:dyDescent="0.6">
      <c r="B5" s="7" t="s">
        <v>2</v>
      </c>
      <c r="C5" s="7"/>
      <c r="D5" s="8"/>
      <c r="E5" s="8"/>
      <c r="F5" s="8"/>
      <c r="G5" s="8"/>
      <c r="H5" s="8"/>
    </row>
    <row r="6" spans="2:9" s="1" customFormat="1" ht="23.15" x14ac:dyDescent="0.6">
      <c r="B6" s="9" t="s">
        <v>12</v>
      </c>
      <c r="C6" s="10"/>
      <c r="D6" s="8"/>
      <c r="E6" s="8"/>
      <c r="F6" s="8"/>
      <c r="G6" s="8"/>
      <c r="H6" s="8"/>
    </row>
    <row r="7" spans="2:9" s="1" customFormat="1" x14ac:dyDescent="0.4">
      <c r="D7" s="2"/>
      <c r="F7" s="2"/>
      <c r="G7" s="2"/>
    </row>
    <row r="8" spans="2:9" x14ac:dyDescent="0.4">
      <c r="D8"/>
      <c r="I8"/>
    </row>
    <row r="9" spans="2:9" ht="23.15" x14ac:dyDescent="0.6">
      <c r="C9" s="6"/>
      <c r="D9"/>
      <c r="I9"/>
    </row>
    <row r="10" spans="2:9" ht="28.3" x14ac:dyDescent="0.75">
      <c r="D10" s="3" t="s">
        <v>1</v>
      </c>
      <c r="E10" s="3" t="s">
        <v>3</v>
      </c>
      <c r="F10" s="3" t="s">
        <v>4</v>
      </c>
      <c r="G10" s="3" t="s">
        <v>11</v>
      </c>
      <c r="H10" s="3" t="s">
        <v>5</v>
      </c>
      <c r="I10" s="3" t="s">
        <v>6</v>
      </c>
    </row>
    <row r="11" spans="2:9" ht="28.3" x14ac:dyDescent="0.75">
      <c r="D11" s="4" t="s">
        <v>7</v>
      </c>
      <c r="E11" s="4">
        <v>10</v>
      </c>
      <c r="F11" s="4">
        <v>5</v>
      </c>
      <c r="G11" s="11">
        <f>somaDoisNumeros(E11,F11)</f>
        <v>15</v>
      </c>
      <c r="H11" s="11">
        <f>mediaDoisNumeros(E11,F11)</f>
        <v>7.5</v>
      </c>
      <c r="I11" s="11" t="str">
        <f>SituacaoDoisNumeros(E11,F11)</f>
        <v>Aprovado(a)</v>
      </c>
    </row>
    <row r="12" spans="2:9" ht="28.3" x14ac:dyDescent="0.75">
      <c r="D12" s="4" t="s">
        <v>8</v>
      </c>
      <c r="E12" s="4">
        <v>8</v>
      </c>
      <c r="F12" s="4">
        <v>4</v>
      </c>
      <c r="G12" s="11">
        <f t="shared" ref="G12:G13" si="0">somaDoisNumeros(E12,F12)</f>
        <v>12</v>
      </c>
      <c r="H12" s="11">
        <f t="shared" ref="H12:H14" si="1">mediaDoisNumeros(E12,F12)</f>
        <v>6</v>
      </c>
      <c r="I12" s="11" t="str">
        <f t="shared" ref="I12:I14" si="2">SituacaoDoisNumeros(E12,F12)</f>
        <v>Aprovado(a)</v>
      </c>
    </row>
    <row r="13" spans="2:9" ht="28.3" x14ac:dyDescent="0.75">
      <c r="D13" s="4" t="s">
        <v>9</v>
      </c>
      <c r="E13" s="4">
        <v>10</v>
      </c>
      <c r="F13" s="4">
        <v>3</v>
      </c>
      <c r="G13" s="11">
        <f t="shared" si="0"/>
        <v>13</v>
      </c>
      <c r="H13" s="11">
        <f t="shared" si="1"/>
        <v>6.5</v>
      </c>
      <c r="I13" s="11" t="str">
        <f t="shared" si="2"/>
        <v>Aprovado(a)</v>
      </c>
    </row>
    <row r="14" spans="2:9" ht="28.3" x14ac:dyDescent="0.75">
      <c r="D14" s="4" t="s">
        <v>10</v>
      </c>
      <c r="E14" s="4">
        <v>6</v>
      </c>
      <c r="F14" s="4">
        <v>2</v>
      </c>
      <c r="G14" s="11">
        <f>somaDoisNumeros(E14,F14)</f>
        <v>8</v>
      </c>
      <c r="H14" s="11">
        <f t="shared" si="1"/>
        <v>4</v>
      </c>
      <c r="I14" s="11" t="str">
        <f t="shared" si="2"/>
        <v>Recuperação</v>
      </c>
    </row>
    <row r="16" spans="2:9" ht="28.3" x14ac:dyDescent="0.75">
      <c r="D16" s="4" t="s">
        <v>28</v>
      </c>
      <c r="E16" s="11">
        <f>somaIntervalo(E11:E14)</f>
        <v>34</v>
      </c>
      <c r="F16" s="11">
        <f t="shared" ref="F16:H16" si="3">somaIntervalo(F11:F14)</f>
        <v>14</v>
      </c>
      <c r="G16" s="11">
        <f t="shared" si="3"/>
        <v>48</v>
      </c>
      <c r="H16" s="11">
        <f t="shared" si="3"/>
        <v>24</v>
      </c>
      <c r="I16" s="11"/>
    </row>
    <row r="17" spans="4:9" ht="28.3" x14ac:dyDescent="0.75">
      <c r="D17" s="4" t="s">
        <v>29</v>
      </c>
      <c r="E17" s="11">
        <f>somaIntervalo_media(E11:E14)</f>
        <v>8.5</v>
      </c>
      <c r="F17" s="11">
        <f t="shared" ref="F17:H17" si="4">somaIntervalo_media(F11:F14)</f>
        <v>3.5</v>
      </c>
      <c r="G17" s="11">
        <f t="shared" si="4"/>
        <v>12</v>
      </c>
      <c r="H17" s="11">
        <f t="shared" si="4"/>
        <v>6</v>
      </c>
      <c r="I17" s="11"/>
    </row>
  </sheetData>
  <mergeCells count="1">
    <mergeCell ref="B2:H4"/>
  </mergeCells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B151A-C629-48DC-99EA-01F09B914E44}">
  <sheetPr codeName="Planilha2"/>
  <dimension ref="B1:I14"/>
  <sheetViews>
    <sheetView showGridLines="0" topLeftCell="B1" workbookViewId="0">
      <selection activeCell="I11" sqref="I11:I14"/>
    </sheetView>
  </sheetViews>
  <sheetFormatPr defaultRowHeight="14.6" x14ac:dyDescent="0.4"/>
  <cols>
    <col min="1" max="1" width="5" customWidth="1"/>
    <col min="3" max="3" width="25.3828125" style="5" customWidth="1"/>
    <col min="4" max="5" width="22.53515625" customWidth="1"/>
    <col min="6" max="6" width="42.61328125" bestFit="1" customWidth="1"/>
    <col min="7" max="7" width="42.15234375" bestFit="1" customWidth="1"/>
    <col min="8" max="8" width="68.84375" bestFit="1" customWidth="1"/>
    <col min="9" max="9" width="110" bestFit="1" customWidth="1"/>
  </cols>
  <sheetData>
    <row r="1" spans="2:9" s="1" customFormat="1" x14ac:dyDescent="0.4">
      <c r="C1" s="2"/>
      <c r="E1" s="2"/>
      <c r="F1" s="2"/>
      <c r="G1" s="2"/>
      <c r="H1" s="2"/>
      <c r="I1" s="2"/>
    </row>
    <row r="2" spans="2:9" s="1" customFormat="1" ht="15.65" customHeight="1" x14ac:dyDescent="0.4">
      <c r="B2" s="16" t="s">
        <v>0</v>
      </c>
      <c r="C2" s="16"/>
      <c r="D2" s="16"/>
      <c r="E2" s="16"/>
      <c r="F2" s="16"/>
      <c r="G2" s="16"/>
    </row>
    <row r="3" spans="2:9" s="1" customFormat="1" ht="14.4" customHeight="1" x14ac:dyDescent="0.4">
      <c r="B3" s="16"/>
      <c r="C3" s="16"/>
      <c r="D3" s="16"/>
      <c r="E3" s="16"/>
      <c r="F3" s="16"/>
      <c r="G3" s="16"/>
    </row>
    <row r="4" spans="2:9" s="1" customFormat="1" ht="14.4" customHeight="1" x14ac:dyDescent="0.4">
      <c r="B4" s="16"/>
      <c r="C4" s="16"/>
      <c r="D4" s="16"/>
      <c r="E4" s="16"/>
      <c r="F4" s="16"/>
      <c r="G4" s="16"/>
    </row>
    <row r="5" spans="2:9" s="1" customFormat="1" ht="23.15" x14ac:dyDescent="0.6">
      <c r="B5" s="7" t="s">
        <v>2</v>
      </c>
      <c r="C5" s="8"/>
      <c r="D5" s="8"/>
      <c r="E5" s="8"/>
      <c r="F5" s="8"/>
      <c r="G5" s="8"/>
      <c r="H5" s="8"/>
      <c r="I5" s="8"/>
    </row>
    <row r="6" spans="2:9" s="1" customFormat="1" ht="23.15" x14ac:dyDescent="0.6">
      <c r="B6" s="9" t="s">
        <v>13</v>
      </c>
      <c r="C6" s="8"/>
      <c r="D6" s="8"/>
      <c r="E6" s="8"/>
      <c r="F6" s="8"/>
      <c r="G6" s="8"/>
      <c r="H6" s="8"/>
      <c r="I6" s="8"/>
    </row>
    <row r="7" spans="2:9" s="1" customFormat="1" x14ac:dyDescent="0.4">
      <c r="C7" s="2"/>
      <c r="E7" s="2"/>
      <c r="F7" s="2"/>
      <c r="G7" s="2"/>
      <c r="H7" s="2"/>
      <c r="I7" s="2"/>
    </row>
    <row r="8" spans="2:9" x14ac:dyDescent="0.4">
      <c r="C8"/>
    </row>
    <row r="9" spans="2:9" x14ac:dyDescent="0.4">
      <c r="C9"/>
    </row>
    <row r="10" spans="2:9" ht="28.3" x14ac:dyDescent="0.75">
      <c r="C10" s="3" t="s">
        <v>1</v>
      </c>
      <c r="D10" s="3" t="s">
        <v>1</v>
      </c>
      <c r="E10" s="3" t="s">
        <v>1</v>
      </c>
      <c r="F10" s="3" t="s">
        <v>19</v>
      </c>
      <c r="G10" s="3" t="s">
        <v>20</v>
      </c>
      <c r="H10" s="3" t="s">
        <v>26</v>
      </c>
      <c r="I10" s="3" t="s">
        <v>27</v>
      </c>
    </row>
    <row r="11" spans="2:9" ht="28.3" x14ac:dyDescent="0.75">
      <c r="C11" s="4" t="s">
        <v>18</v>
      </c>
      <c r="D11" s="4" t="s">
        <v>21</v>
      </c>
      <c r="E11" s="4" t="s">
        <v>14</v>
      </c>
      <c r="F11" s="11" t="str">
        <f>juntarTexto(C11:E11)</f>
        <v xml:space="preserve"> Ana PAULA Alves</v>
      </c>
      <c r="G11" s="11" t="str">
        <f>juntarTexto_P_Maiuscula(C11:E11)</f>
        <v xml:space="preserve"> Ana Paula Alves</v>
      </c>
      <c r="H11" s="11" t="str">
        <f>juntarTexto_Minuscula(C11:E11)</f>
        <v xml:space="preserve"> ana paula alves</v>
      </c>
      <c r="I11" s="11" t="str">
        <f>juntarTexto_Maiuscula(C11:E11)</f>
        <v xml:space="preserve"> ANA PAULA ALVES</v>
      </c>
    </row>
    <row r="12" spans="2:9" ht="28.3" x14ac:dyDescent="0.75">
      <c r="C12" s="4" t="s">
        <v>22</v>
      </c>
      <c r="D12" s="4" t="s">
        <v>15</v>
      </c>
      <c r="E12" s="4" t="s">
        <v>16</v>
      </c>
      <c r="F12" s="11" t="str">
        <f>juntarTexto(C12:E12)</f>
        <v xml:space="preserve"> ROGER Pires Moreira</v>
      </c>
      <c r="G12" s="11" t="str">
        <f t="shared" ref="G12:G14" si="0">juntarTexto_P_Maiuscula(C12:E12)</f>
        <v xml:space="preserve"> Roger Pires Moreira</v>
      </c>
      <c r="H12" s="11" t="str">
        <f t="shared" ref="H12:H14" si="1">juntarTexto_Minuscula(C12:E12)</f>
        <v xml:space="preserve"> roger pires moreira</v>
      </c>
      <c r="I12" s="11" t="str">
        <f t="shared" ref="I12:I14" si="2">juntarTexto_Maiuscula(C12:E12)</f>
        <v xml:space="preserve"> ROGER PIRES MOREIRA</v>
      </c>
    </row>
    <row r="13" spans="2:9" ht="28.3" x14ac:dyDescent="0.75">
      <c r="C13" s="4" t="s">
        <v>23</v>
      </c>
      <c r="D13" s="4" t="s">
        <v>17</v>
      </c>
      <c r="E13" s="4" t="s">
        <v>24</v>
      </c>
      <c r="F13" s="11" t="str">
        <f t="shared" ref="F13:F14" si="3">juntarTexto(C13:E13)</f>
        <v xml:space="preserve"> TUANE Cardoso MArtiNS</v>
      </c>
      <c r="G13" s="11" t="str">
        <f t="shared" si="0"/>
        <v xml:space="preserve"> Tuane Cardoso Martins</v>
      </c>
      <c r="H13" s="11" t="str">
        <f t="shared" si="1"/>
        <v xml:space="preserve"> tuane cardoso martins</v>
      </c>
      <c r="I13" s="11" t="str">
        <f t="shared" si="2"/>
        <v xml:space="preserve"> TUANE CARDOSO MARTINS</v>
      </c>
    </row>
    <row r="14" spans="2:9" ht="28.3" x14ac:dyDescent="0.75">
      <c r="C14" s="4" t="s">
        <v>10</v>
      </c>
      <c r="D14" s="4" t="s">
        <v>25</v>
      </c>
      <c r="E14" s="4"/>
      <c r="F14" s="11" t="str">
        <f t="shared" si="3"/>
        <v xml:space="preserve"> Vera GonçALves </v>
      </c>
      <c r="G14" s="11" t="str">
        <f t="shared" si="0"/>
        <v xml:space="preserve"> Vera Gonçalves </v>
      </c>
      <c r="H14" s="11" t="str">
        <f t="shared" si="1"/>
        <v xml:space="preserve"> vera gonçalves </v>
      </c>
      <c r="I14" s="11" t="str">
        <f t="shared" si="2"/>
        <v xml:space="preserve"> VERA GONÇALVES </v>
      </c>
    </row>
  </sheetData>
  <mergeCells count="1">
    <mergeCell ref="B2:G4"/>
  </mergeCell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91C5-56AE-48E5-A9CD-5AAFD4D33B9C}">
  <sheetPr codeName="Planilha3"/>
  <dimension ref="B1:K14"/>
  <sheetViews>
    <sheetView showGridLines="0" workbookViewId="0">
      <selection activeCell="D11" sqref="D11:D14"/>
    </sheetView>
  </sheetViews>
  <sheetFormatPr defaultRowHeight="14.6" x14ac:dyDescent="0.4"/>
  <cols>
    <col min="1" max="1" width="5" customWidth="1"/>
    <col min="3" max="3" width="65.15234375" style="5" customWidth="1"/>
    <col min="4" max="4" width="22.152343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8" spans="2:11" x14ac:dyDescent="0.4">
      <c r="C8"/>
    </row>
    <row r="9" spans="2:11" x14ac:dyDescent="0.4">
      <c r="C9"/>
    </row>
    <row r="10" spans="2:11" ht="28.3" x14ac:dyDescent="0.75">
      <c r="C10" s="3" t="s">
        <v>36</v>
      </c>
      <c r="D10" s="3" t="s">
        <v>32</v>
      </c>
    </row>
    <row r="11" spans="2:11" ht="28.3" x14ac:dyDescent="0.75">
      <c r="C11" s="4" t="s">
        <v>31</v>
      </c>
      <c r="D11" s="11">
        <f>extrairNumeros(C11)</f>
        <v>2602</v>
      </c>
    </row>
    <row r="12" spans="2:11" ht="28.3" x14ac:dyDescent="0.75">
      <c r="C12" s="4" t="s">
        <v>33</v>
      </c>
      <c r="D12" s="11">
        <f t="shared" ref="D12:D14" si="0">extrairNumeros(C12)</f>
        <v>39</v>
      </c>
    </row>
    <row r="13" spans="2:11" ht="28.3" x14ac:dyDescent="0.75">
      <c r="C13" s="4" t="s">
        <v>34</v>
      </c>
      <c r="D13" s="11">
        <f t="shared" si="0"/>
        <v>29</v>
      </c>
    </row>
    <row r="14" spans="2:11" ht="28.3" x14ac:dyDescent="0.75">
      <c r="C14" s="4" t="s">
        <v>35</v>
      </c>
      <c r="D14" s="11">
        <f t="shared" si="0"/>
        <v>12345</v>
      </c>
    </row>
  </sheetData>
  <mergeCells count="1">
    <mergeCell ref="B2:K4"/>
  </mergeCell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D5F3-7C7C-4A84-B300-6A80FB03784D}">
  <sheetPr codeName="Planilha4"/>
  <dimension ref="B1:K21"/>
  <sheetViews>
    <sheetView showGridLines="0" topLeftCell="A7" workbookViewId="0">
      <selection activeCell="F17" sqref="F17"/>
    </sheetView>
  </sheetViews>
  <sheetFormatPr defaultRowHeight="14.6" x14ac:dyDescent="0.4"/>
  <cols>
    <col min="6" max="6" width="15.5351562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10" spans="2:11" ht="26.15" x14ac:dyDescent="0.7">
      <c r="C10" s="14">
        <v>964</v>
      </c>
    </row>
    <row r="11" spans="2:11" ht="26.15" x14ac:dyDescent="0.7">
      <c r="C11" s="14">
        <v>50</v>
      </c>
    </row>
    <row r="12" spans="2:11" ht="28.3" x14ac:dyDescent="0.75">
      <c r="C12" s="14">
        <v>27</v>
      </c>
      <c r="F12" s="11">
        <f>maiorNumero(C10:C21)</f>
        <v>997</v>
      </c>
    </row>
    <row r="13" spans="2:11" ht="26.15" x14ac:dyDescent="0.7">
      <c r="C13" s="14">
        <v>239</v>
      </c>
    </row>
    <row r="14" spans="2:11" ht="26.15" x14ac:dyDescent="0.7">
      <c r="C14" s="14">
        <v>755</v>
      </c>
    </row>
    <row r="15" spans="2:11" ht="26.15" x14ac:dyDescent="0.7">
      <c r="C15" s="14">
        <v>194</v>
      </c>
    </row>
    <row r="16" spans="2:11" ht="26.15" x14ac:dyDescent="0.7">
      <c r="C16" s="14">
        <v>68</v>
      </c>
    </row>
    <row r="17" spans="3:3" ht="26.15" x14ac:dyDescent="0.7">
      <c r="C17" s="14">
        <v>78</v>
      </c>
    </row>
    <row r="18" spans="3:3" ht="26.15" x14ac:dyDescent="0.7">
      <c r="C18" s="14">
        <v>997</v>
      </c>
    </row>
    <row r="19" spans="3:3" ht="26.15" x14ac:dyDescent="0.7">
      <c r="C19" s="14">
        <v>547</v>
      </c>
    </row>
    <row r="20" spans="3:3" ht="26.15" x14ac:dyDescent="0.7">
      <c r="C20" s="14">
        <v>458</v>
      </c>
    </row>
    <row r="21" spans="3:3" ht="26.15" x14ac:dyDescent="0.7">
      <c r="C21" s="14">
        <v>746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CA981-9B0A-46EF-842E-47DE65AFAB72}">
  <sheetPr codeName="Planilha5"/>
  <dimension ref="B1:K14"/>
  <sheetViews>
    <sheetView showGridLines="0" workbookViewId="0">
      <selection activeCell="E11" sqref="E11"/>
    </sheetView>
  </sheetViews>
  <sheetFormatPr defaultRowHeight="14.6" x14ac:dyDescent="0.4"/>
  <cols>
    <col min="3" max="3" width="41" bestFit="1" customWidth="1"/>
    <col min="4" max="4" width="28.9218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37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D11" s="11" t="str">
        <f>sobrenome(C11)</f>
        <v>Oliveira</v>
      </c>
    </row>
    <row r="12" spans="2:11" ht="28.3" x14ac:dyDescent="0.75">
      <c r="C12" s="13" t="s">
        <v>40</v>
      </c>
      <c r="D12" s="11" t="str">
        <f t="shared" ref="D12:D14" si="0">sobrenome(C12)</f>
        <v>Martins</v>
      </c>
    </row>
    <row r="13" spans="2:11" ht="28.3" x14ac:dyDescent="0.75">
      <c r="C13" s="13" t="s">
        <v>41</v>
      </c>
      <c r="D13" s="11" t="str">
        <f t="shared" si="0"/>
        <v>Verde</v>
      </c>
    </row>
    <row r="14" spans="2:11" ht="28.3" x14ac:dyDescent="0.75">
      <c r="C14" s="13" t="s">
        <v>74</v>
      </c>
      <c r="D14" s="11" t="str">
        <f t="shared" si="0"/>
        <v>Salsa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3B33-2C4B-4841-80D7-17FC101FBC31}">
  <sheetPr codeName="Planilha6"/>
  <dimension ref="B1:K14"/>
  <sheetViews>
    <sheetView showGridLines="0" workbookViewId="0">
      <selection activeCell="F11" sqref="F11"/>
    </sheetView>
  </sheetViews>
  <sheetFormatPr defaultRowHeight="14.6" x14ac:dyDescent="0.4"/>
  <cols>
    <col min="3" max="3" width="41" bestFit="1" customWidth="1"/>
    <col min="6" max="6" width="33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43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F11" s="11" t="str">
        <f>nome_Sobrenome(C11)</f>
        <v>Berenice Oliveira</v>
      </c>
    </row>
    <row r="12" spans="2:11" ht="28.3" x14ac:dyDescent="0.75">
      <c r="C12" s="13" t="s">
        <v>40</v>
      </c>
      <c r="F12" s="11" t="str">
        <f t="shared" ref="F12:F14" si="0">nome_Sobrenome(C12)</f>
        <v>Renata Martins</v>
      </c>
    </row>
    <row r="13" spans="2:11" ht="28.3" x14ac:dyDescent="0.75">
      <c r="C13" s="13" t="s">
        <v>41</v>
      </c>
      <c r="F13" s="11" t="str">
        <f t="shared" si="0"/>
        <v>Kleber Verde</v>
      </c>
    </row>
    <row r="14" spans="2:11" ht="28.3" x14ac:dyDescent="0.75">
      <c r="C14" s="13" t="s">
        <v>42</v>
      </c>
      <c r="F14" s="11" t="str">
        <f t="shared" si="0"/>
        <v>Allan Teste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4BF1-0F1C-499D-9086-D39000EFE387}">
  <sheetPr codeName="Planilha7"/>
  <dimension ref="B1:K22"/>
  <sheetViews>
    <sheetView showGridLines="0" workbookViewId="0">
      <selection activeCell="D20" sqref="D20"/>
    </sheetView>
  </sheetViews>
  <sheetFormatPr defaultRowHeight="14.6" x14ac:dyDescent="0.4"/>
  <cols>
    <col min="3" max="3" width="28.53515625" customWidth="1"/>
    <col min="4" max="4" width="35.07421875" bestFit="1" customWidth="1"/>
    <col min="5" max="5" width="5.84375" customWidth="1"/>
    <col min="6" max="6" width="24.84375" customWidth="1"/>
    <col min="7" max="7" width="33.84375" customWidth="1"/>
    <col min="9" max="9" width="24.84375" customWidth="1"/>
    <col min="10" max="10" width="4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44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45</v>
      </c>
      <c r="F10" s="12" t="s">
        <v>45</v>
      </c>
    </row>
    <row r="11" spans="2:11" ht="28.3" x14ac:dyDescent="0.75">
      <c r="C11" s="13" t="s">
        <v>47</v>
      </c>
      <c r="D11" s="11" t="str">
        <f>CPF(C11)</f>
        <v>12398778910</v>
      </c>
      <c r="F11" s="13" t="s">
        <v>48</v>
      </c>
      <c r="G11" s="11" t="str">
        <f>MASCARA_CPF(F11)</f>
        <v>123.987.789-10</v>
      </c>
    </row>
    <row r="12" spans="2:11" ht="28.3" x14ac:dyDescent="0.75">
      <c r="C12" s="13" t="s">
        <v>49</v>
      </c>
      <c r="D12" s="11" t="str">
        <f t="shared" ref="D12:D14" si="0">CPF(C12)</f>
        <v>12358678911</v>
      </c>
      <c r="F12" s="13" t="s">
        <v>50</v>
      </c>
      <c r="G12" s="11" t="str">
        <f t="shared" ref="G12:G14" si="1">MASCARA_CPF(F12)</f>
        <v>123.586.789-11</v>
      </c>
    </row>
    <row r="13" spans="2:11" ht="28.3" x14ac:dyDescent="0.75">
      <c r="C13" s="13" t="s">
        <v>51</v>
      </c>
      <c r="D13" s="11" t="str">
        <f t="shared" si="0"/>
        <v>12345698612</v>
      </c>
      <c r="F13" s="13" t="s">
        <v>52</v>
      </c>
      <c r="G13" s="11" t="str">
        <f t="shared" si="1"/>
        <v>123.456.986-12</v>
      </c>
    </row>
    <row r="14" spans="2:11" ht="28.3" x14ac:dyDescent="0.75">
      <c r="C14" s="13" t="s">
        <v>53</v>
      </c>
      <c r="D14" s="11" t="str">
        <f t="shared" si="0"/>
        <v>67845678913</v>
      </c>
      <c r="F14" s="13" t="s">
        <v>54</v>
      </c>
      <c r="G14" s="11" t="str">
        <f t="shared" si="1"/>
        <v>678.456.789-13</v>
      </c>
    </row>
    <row r="18" spans="3:4" ht="26.15" x14ac:dyDescent="0.4">
      <c r="C18" s="12" t="s">
        <v>46</v>
      </c>
    </row>
    <row r="19" spans="3:4" ht="28.3" x14ac:dyDescent="0.75">
      <c r="C19" s="15">
        <v>88987676565</v>
      </c>
      <c r="D19" s="11" t="str">
        <f>MASCARA_TEL(C19)</f>
        <v>+55 (88) 98767-6565</v>
      </c>
    </row>
    <row r="20" spans="3:4" ht="28.3" x14ac:dyDescent="0.75">
      <c r="C20" s="15">
        <v>99987679876</v>
      </c>
      <c r="D20" s="11" t="str">
        <f t="shared" ref="D20:D22" si="2">MASCARA_TEL(C20)</f>
        <v>+55 (99) 98767-9876</v>
      </c>
    </row>
    <row r="21" spans="3:4" ht="28.3" x14ac:dyDescent="0.75">
      <c r="C21" s="15">
        <v>11987675555</v>
      </c>
      <c r="D21" s="11" t="str">
        <f t="shared" si="2"/>
        <v>+55 (11) 98767-5555</v>
      </c>
    </row>
    <row r="22" spans="3:4" ht="28.3" x14ac:dyDescent="0.75">
      <c r="C22" s="15">
        <v>55987676569</v>
      </c>
      <c r="D22" s="11" t="str">
        <f t="shared" si="2"/>
        <v>+55 (55) 98767-6569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EF4CC-781B-47A6-93B6-5D51856E6BE4}">
  <sheetPr codeName="Planilha8"/>
  <dimension ref="B1:J14"/>
  <sheetViews>
    <sheetView topLeftCell="C1" zoomScale="93" workbookViewId="0">
      <selection activeCell="E17" sqref="E17"/>
    </sheetView>
  </sheetViews>
  <sheetFormatPr defaultRowHeight="14.6" x14ac:dyDescent="0.4"/>
  <cols>
    <col min="2" max="2" width="14.84375" bestFit="1" customWidth="1"/>
    <col min="3" max="3" width="53.15234375" bestFit="1" customWidth="1"/>
    <col min="5" max="5" width="22.61328125" customWidth="1"/>
    <col min="6" max="6" width="53.15234375" bestFit="1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</row>
    <row r="3" spans="2:10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</row>
    <row r="4" spans="2:10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55</v>
      </c>
      <c r="C6" s="8"/>
    </row>
    <row r="7" spans="2:10" s="1" customFormat="1" x14ac:dyDescent="0.4">
      <c r="C7" s="2"/>
    </row>
    <row r="10" spans="2:10" ht="28.3" x14ac:dyDescent="0.75">
      <c r="B10" s="3" t="s">
        <v>32</v>
      </c>
      <c r="C10" s="3" t="s">
        <v>36</v>
      </c>
      <c r="E10" s="3" t="s">
        <v>32</v>
      </c>
      <c r="F10" s="3" t="s">
        <v>36</v>
      </c>
    </row>
    <row r="11" spans="2:10" ht="28.3" x14ac:dyDescent="0.75">
      <c r="B11" s="4">
        <v>2602</v>
      </c>
      <c r="C11" s="4" t="s">
        <v>31</v>
      </c>
      <c r="E11" s="4">
        <v>12345</v>
      </c>
      <c r="F11" s="11" t="str">
        <f>puxaDados(E11,$B$10:$C$14)</f>
        <v xml:space="preserve">		Vila Bueno 12345 São Paulo</v>
      </c>
    </row>
    <row r="12" spans="2:10" ht="28.3" x14ac:dyDescent="0.75">
      <c r="B12" s="4">
        <v>39</v>
      </c>
      <c r="C12" s="4" t="s">
        <v>33</v>
      </c>
      <c r="E12" s="4">
        <v>39</v>
      </c>
      <c r="F12" s="11" t="str">
        <f t="shared" ref="F12:F14" si="0">puxaDados(E12,$B$10:$C$14)</f>
        <v xml:space="preserve">		Rua Martins Fontes, número 39</v>
      </c>
    </row>
    <row r="13" spans="2:10" ht="28.3" x14ac:dyDescent="0.75">
      <c r="B13" s="4">
        <v>29</v>
      </c>
      <c r="C13" s="4" t="s">
        <v>34</v>
      </c>
      <c r="E13" s="4">
        <v>29</v>
      </c>
      <c r="F13" s="11" t="str">
        <f t="shared" si="0"/>
        <v>29 - Rua Três de Dezembro</v>
      </c>
    </row>
    <row r="14" spans="2:10" ht="28.3" x14ac:dyDescent="0.75">
      <c r="B14" s="4">
        <v>12345</v>
      </c>
      <c r="C14" s="4" t="s">
        <v>35</v>
      </c>
      <c r="E14" s="4">
        <v>39</v>
      </c>
      <c r="F14" s="11" t="str">
        <f t="shared" si="0"/>
        <v xml:space="preserve">		Rua Martins Fontes, número 39</v>
      </c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006B3-ABDB-49F3-A568-97D5C47886DB}">
  <sheetPr codeName="Planilha9"/>
  <dimension ref="B1:J13"/>
  <sheetViews>
    <sheetView zoomScale="93" workbookViewId="0">
      <selection activeCell="F11" sqref="F11"/>
    </sheetView>
  </sheetViews>
  <sheetFormatPr defaultRowHeight="14.6" x14ac:dyDescent="0.4"/>
  <cols>
    <col min="2" max="2" width="14.84375" bestFit="1" customWidth="1"/>
    <col min="3" max="3" width="53.15234375" bestFit="1" customWidth="1"/>
    <col min="4" max="4" width="22.3828125" customWidth="1"/>
    <col min="5" max="6" width="16.921875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</row>
    <row r="3" spans="2:10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</row>
    <row r="4" spans="2:10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56</v>
      </c>
      <c r="C6" s="8"/>
    </row>
    <row r="7" spans="2:10" s="1" customFormat="1" x14ac:dyDescent="0.4">
      <c r="C7" s="2"/>
    </row>
    <row r="10" spans="2:10" ht="28.3" x14ac:dyDescent="0.75">
      <c r="C10" s="3" t="s">
        <v>38</v>
      </c>
      <c r="D10" s="3" t="s">
        <v>57</v>
      </c>
      <c r="E10" s="3" t="s">
        <v>58</v>
      </c>
      <c r="F10" s="3" t="s">
        <v>59</v>
      </c>
    </row>
    <row r="11" spans="2:10" ht="28.3" x14ac:dyDescent="0.75">
      <c r="C11" s="4" t="s">
        <v>60</v>
      </c>
      <c r="D11" s="11" t="str">
        <f>SEPARA_NOME($C11,COLUMN(A1))</f>
        <v>Luana</v>
      </c>
      <c r="E11" s="11" t="str">
        <f t="shared" ref="E11:F11" si="0">SEPARA_NOME($C11,COLUMN(B1))</f>
        <v>Alves</v>
      </c>
      <c r="F11" s="11" t="str">
        <f t="shared" si="0"/>
        <v>Ramos</v>
      </c>
    </row>
    <row r="12" spans="2:10" ht="28.3" x14ac:dyDescent="0.75">
      <c r="C12" s="4" t="s">
        <v>61</v>
      </c>
      <c r="D12" s="11" t="str">
        <f t="shared" ref="D12:D13" si="1">SEPARA_NOME($C12,COLUMN(A2))</f>
        <v>Berenice</v>
      </c>
      <c r="E12" s="11" t="str">
        <f t="shared" ref="E12:E13" si="2">SEPARA_NOME($C12,COLUMN(B2))</f>
        <v>Pires</v>
      </c>
      <c r="F12" s="11" t="str">
        <f t="shared" ref="F12:F13" si="3">SEPARA_NOME($C12,COLUMN(C2))</f>
        <v>Soares</v>
      </c>
    </row>
    <row r="13" spans="2:10" ht="28.3" x14ac:dyDescent="0.75">
      <c r="C13" s="4" t="s">
        <v>62</v>
      </c>
      <c r="D13" s="11" t="str">
        <f t="shared" si="1"/>
        <v>Amanda</v>
      </c>
      <c r="E13" s="11" t="str">
        <f t="shared" si="2"/>
        <v>Cardoso</v>
      </c>
      <c r="F13" s="11" t="str">
        <f t="shared" si="3"/>
        <v>Pereira</v>
      </c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B4423-0615-4E73-841D-A22044811015}">
  <sheetPr codeName="Planilha10"/>
  <dimension ref="B1:H13"/>
  <sheetViews>
    <sheetView tabSelected="1" topLeftCell="C1" zoomScale="93" workbookViewId="0">
      <selection activeCell="F13" sqref="F13"/>
    </sheetView>
  </sheetViews>
  <sheetFormatPr defaultRowHeight="14.6" x14ac:dyDescent="0.4"/>
  <cols>
    <col min="2" max="2" width="14.84375" bestFit="1" customWidth="1"/>
    <col min="3" max="3" width="32.4609375" customWidth="1"/>
    <col min="4" max="4" width="53.1523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</row>
    <row r="3" spans="2:8" s="1" customFormat="1" ht="14.4" customHeight="1" x14ac:dyDescent="0.4">
      <c r="B3" s="16"/>
      <c r="C3" s="16"/>
      <c r="D3" s="16"/>
      <c r="E3" s="16"/>
      <c r="F3" s="16"/>
      <c r="G3" s="16"/>
      <c r="H3" s="16"/>
    </row>
    <row r="4" spans="2:8" s="1" customFormat="1" ht="14.4" customHeight="1" x14ac:dyDescent="0.4">
      <c r="B4" s="16"/>
      <c r="C4" s="16"/>
      <c r="D4" s="16"/>
      <c r="E4" s="16"/>
      <c r="F4" s="16"/>
      <c r="G4" s="16"/>
      <c r="H4" s="16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63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1</v>
      </c>
      <c r="E10" s="3" t="s">
        <v>64</v>
      </c>
      <c r="F10" s="3" t="s">
        <v>65</v>
      </c>
    </row>
    <row r="11" spans="2:8" ht="28.3" x14ac:dyDescent="0.75">
      <c r="C11" s="4" t="s">
        <v>66</v>
      </c>
      <c r="D11" s="11" t="str">
        <f>EXTRAI_INFO_COLUNAS($C11,COLUMN(A1))</f>
        <v>Luana Alves Ramos</v>
      </c>
      <c r="E11" s="11" t="str">
        <f t="shared" ref="E11:F11" si="0">EXTRAI_INFO_COLUNAS($C11,COLUMN(B1))</f>
        <v>21</v>
      </c>
      <c r="F11" s="11" t="str">
        <f t="shared" si="0"/>
        <v>Feminino</v>
      </c>
    </row>
    <row r="12" spans="2:8" ht="28.3" x14ac:dyDescent="0.75">
      <c r="C12" s="4" t="s">
        <v>67</v>
      </c>
      <c r="D12" s="11" t="str">
        <f t="shared" ref="D12:D13" si="1">EXTRAI_INFO_COLUNAS($C12,COLUMN(A2))</f>
        <v>Berenice Pires Soares</v>
      </c>
      <c r="E12" s="11" t="str">
        <f t="shared" ref="E12:E13" si="2">EXTRAI_INFO_COLUNAS($C12,COLUMN(B2))</f>
        <v>32</v>
      </c>
      <c r="F12" s="11" t="str">
        <f t="shared" ref="F12:F13" si="3">EXTRAI_INFO_COLUNAS($C12,COLUMN(C2))</f>
        <v>Feminino</v>
      </c>
    </row>
    <row r="13" spans="2:8" ht="28.3" x14ac:dyDescent="0.75">
      <c r="C13" s="4" t="s">
        <v>68</v>
      </c>
      <c r="D13" s="11" t="str">
        <f t="shared" si="1"/>
        <v>Amanda Cardoso Pereira</v>
      </c>
      <c r="E13" s="11" t="str">
        <f t="shared" si="2"/>
        <v>28</v>
      </c>
      <c r="F13" s="11" t="str">
        <f t="shared" si="3"/>
        <v>Feminino</v>
      </c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39A3B-475D-43ED-8001-CDBCBAADDE2A}">
  <sheetPr codeName="Planilha11"/>
  <dimension ref="B1:H19"/>
  <sheetViews>
    <sheetView zoomScale="93" workbookViewId="0">
      <selection activeCell="D17" sqref="D17"/>
    </sheetView>
  </sheetViews>
  <sheetFormatPr defaultRowHeight="14.6" x14ac:dyDescent="0.4"/>
  <cols>
    <col min="2" max="2" width="14.84375" bestFit="1" customWidth="1"/>
    <col min="3" max="3" width="32.4609375" customWidth="1"/>
    <col min="4" max="4" width="64.8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</row>
    <row r="3" spans="2:8" s="1" customFormat="1" ht="14.4" customHeight="1" x14ac:dyDescent="0.4">
      <c r="B3" s="16"/>
      <c r="C3" s="16"/>
      <c r="D3" s="16"/>
      <c r="E3" s="16"/>
      <c r="F3" s="16"/>
      <c r="G3" s="16"/>
      <c r="H3" s="16"/>
    </row>
    <row r="4" spans="2:8" s="1" customFormat="1" ht="14.4" customHeight="1" x14ac:dyDescent="0.4">
      <c r="B4" s="16"/>
      <c r="C4" s="16"/>
      <c r="D4" s="16"/>
      <c r="E4" s="16"/>
      <c r="F4" s="16"/>
      <c r="G4" s="16"/>
      <c r="H4" s="16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69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70</v>
      </c>
    </row>
    <row r="11" spans="2:8" ht="28.3" x14ac:dyDescent="0.75">
      <c r="C11" s="4" t="s">
        <v>66</v>
      </c>
      <c r="D11" s="4" t="s">
        <v>71</v>
      </c>
    </row>
    <row r="12" spans="2:8" ht="28.3" x14ac:dyDescent="0.75">
      <c r="C12" s="4" t="s">
        <v>67</v>
      </c>
      <c r="D12" s="4" t="s">
        <v>72</v>
      </c>
    </row>
    <row r="13" spans="2:8" ht="28.3" x14ac:dyDescent="0.75">
      <c r="C13" s="4" t="s">
        <v>68</v>
      </c>
      <c r="D13" s="4" t="s">
        <v>73</v>
      </c>
    </row>
    <row r="16" spans="2:8" ht="28.3" x14ac:dyDescent="0.75">
      <c r="C16" s="3" t="s">
        <v>45</v>
      </c>
      <c r="D16" s="3" t="s">
        <v>1</v>
      </c>
      <c r="E16" s="3" t="s">
        <v>64</v>
      </c>
      <c r="F16" s="3" t="s">
        <v>65</v>
      </c>
    </row>
    <row r="17" spans="3:6" ht="28.3" x14ac:dyDescent="0.75">
      <c r="C17" s="4" t="s">
        <v>66</v>
      </c>
      <c r="D17" s="11"/>
      <c r="E17" s="11"/>
      <c r="F17" s="11"/>
    </row>
    <row r="18" spans="3:6" ht="28.3" x14ac:dyDescent="0.75">
      <c r="C18" s="4" t="s">
        <v>67</v>
      </c>
      <c r="D18" s="11"/>
      <c r="E18" s="11"/>
      <c r="F18" s="11"/>
    </row>
    <row r="19" spans="3:6" ht="28.3" x14ac:dyDescent="0.75">
      <c r="C19" s="4" t="s">
        <v>68</v>
      </c>
      <c r="D19" s="11"/>
      <c r="E19" s="11"/>
      <c r="F19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Soma e Média</vt:lpstr>
      <vt:lpstr>Juntar Texto</vt:lpstr>
      <vt:lpstr>Extrair Número</vt:lpstr>
      <vt:lpstr>Maior Número</vt:lpstr>
      <vt:lpstr>Sobrenome</vt:lpstr>
      <vt:lpstr>Nome e Sobrenome</vt:lpstr>
      <vt:lpstr>CPF</vt:lpstr>
      <vt:lpstr>Busca Texto</vt:lpstr>
      <vt:lpstr>Separar Texto</vt:lpstr>
      <vt:lpstr>Endereço</vt:lpstr>
      <vt:lpstr>Puxa Dados e Separa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Rodrigo Costa</cp:lastModifiedBy>
  <dcterms:created xsi:type="dcterms:W3CDTF">2020-07-19T13:29:49Z</dcterms:created>
  <dcterms:modified xsi:type="dcterms:W3CDTF">2024-08-29T22:45:45Z</dcterms:modified>
</cp:coreProperties>
</file>